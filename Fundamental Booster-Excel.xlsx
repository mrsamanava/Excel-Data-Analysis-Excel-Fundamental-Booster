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K:\Excel Projects\Fundamental Booster\"/>
    </mc:Choice>
  </mc:AlternateContent>
  <xr:revisionPtr revIDLastSave="0" documentId="13_ncr:1_{4034AC0A-216E-43A1-92C5-439D7ABF216C}" xr6:coauthVersionLast="47" xr6:coauthVersionMax="47" xr10:uidLastSave="{00000000-0000-0000-0000-000000000000}"/>
  <bookViews>
    <workbookView xWindow="-110" yWindow="-110" windowWidth="19420" windowHeight="11500" xr2:uid="{00000000-000D-0000-FFFF-FFFF00000000}"/>
  </bookViews>
  <sheets>
    <sheet name="Projects Instruction" sheetId="3" r:id="rId1"/>
    <sheet name="Students Grade" sheetId="5" r:id="rId2"/>
    <sheet name="Sales Data" sheetId="6" r:id="rId3"/>
    <sheet name="Employee Data" sheetId="7" r:id="rId4"/>
  </sheets>
  <definedNames>
    <definedName name="_xlnm._FilterDatabase" localSheetId="2" hidden="1">'Sales Data'!$A$2:$F$22</definedName>
    <definedName name="_xlnm._FilterDatabase" localSheetId="1" hidden="1">'Students Grade'!$A$1:$J$1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 i="7" l="1"/>
  <c r="F20" i="7"/>
  <c r="F19" i="7"/>
  <c r="F18" i="7"/>
  <c r="F17" i="7"/>
  <c r="F16" i="7"/>
  <c r="F15" i="7"/>
  <c r="F14" i="7"/>
  <c r="F13" i="7"/>
  <c r="F12" i="7"/>
  <c r="F11" i="7"/>
  <c r="F10" i="7"/>
  <c r="F9" i="7"/>
  <c r="I8" i="7" a="1"/>
  <c r="I8" i="7" s="1"/>
  <c r="F8" i="7"/>
  <c r="F7" i="7"/>
  <c r="F6" i="7"/>
  <c r="F5" i="7"/>
  <c r="F4" i="7"/>
  <c r="F3" i="7"/>
  <c r="F2" i="7"/>
  <c r="I32" i="6"/>
  <c r="F31" i="6"/>
  <c r="C31" i="6" a="1"/>
  <c r="C31" i="6" s="1"/>
  <c r="I30" i="6"/>
  <c r="F30" i="6"/>
  <c r="I29" i="6"/>
  <c r="F29" i="6"/>
  <c r="F28" i="6"/>
  <c r="F27" i="6"/>
  <c r="C27" i="6"/>
  <c r="I25" i="6"/>
  <c r="C25" i="6"/>
  <c r="E23" i="6"/>
  <c r="M22" i="6"/>
  <c r="L22" i="6"/>
  <c r="J22" i="6"/>
  <c r="I22" i="6"/>
  <c r="H22" i="6"/>
  <c r="G22" i="6"/>
  <c r="M21" i="6"/>
  <c r="L21" i="6"/>
  <c r="J21" i="6"/>
  <c r="I21" i="6"/>
  <c r="H21" i="6"/>
  <c r="G21" i="6"/>
  <c r="M20" i="6"/>
  <c r="L20" i="6"/>
  <c r="J20" i="6"/>
  <c r="I20" i="6"/>
  <c r="H20" i="6"/>
  <c r="G20" i="6"/>
  <c r="M19" i="6"/>
  <c r="L19" i="6"/>
  <c r="J19" i="6"/>
  <c r="I19" i="6"/>
  <c r="H19" i="6"/>
  <c r="G19" i="6"/>
  <c r="M18" i="6"/>
  <c r="L18" i="6"/>
  <c r="J18" i="6"/>
  <c r="I18" i="6"/>
  <c r="H18" i="6"/>
  <c r="G18" i="6"/>
  <c r="M17" i="6"/>
  <c r="L17" i="6"/>
  <c r="J17" i="6"/>
  <c r="I17" i="6"/>
  <c r="H17" i="6"/>
  <c r="G17" i="6"/>
  <c r="M16" i="6"/>
  <c r="L16" i="6"/>
  <c r="J16" i="6"/>
  <c r="I16" i="6"/>
  <c r="H16" i="6"/>
  <c r="G16" i="6"/>
  <c r="M15" i="6"/>
  <c r="L15" i="6"/>
  <c r="J15" i="6"/>
  <c r="I15" i="6"/>
  <c r="H15" i="6"/>
  <c r="G15" i="6"/>
  <c r="M14" i="6"/>
  <c r="L14" i="6"/>
  <c r="J14" i="6"/>
  <c r="I14" i="6"/>
  <c r="H14" i="6"/>
  <c r="G14" i="6"/>
  <c r="M13" i="6"/>
  <c r="L13" i="6"/>
  <c r="J13" i="6"/>
  <c r="I13" i="6"/>
  <c r="H13" i="6"/>
  <c r="G13" i="6"/>
  <c r="M12" i="6"/>
  <c r="L12" i="6"/>
  <c r="J12" i="6"/>
  <c r="I12" i="6"/>
  <c r="H12" i="6"/>
  <c r="G12" i="6"/>
  <c r="M11" i="6"/>
  <c r="L11" i="6"/>
  <c r="J11" i="6"/>
  <c r="I11" i="6"/>
  <c r="H11" i="6"/>
  <c r="G11" i="6"/>
  <c r="M10" i="6"/>
  <c r="L10" i="6"/>
  <c r="J10" i="6"/>
  <c r="I10" i="6"/>
  <c r="H10" i="6"/>
  <c r="G10" i="6"/>
  <c r="M9" i="6"/>
  <c r="L9" i="6"/>
  <c r="J9" i="6"/>
  <c r="I9" i="6"/>
  <c r="H9" i="6"/>
  <c r="G9" i="6"/>
  <c r="M8" i="6"/>
  <c r="L8" i="6"/>
  <c r="J8" i="6"/>
  <c r="I8" i="6"/>
  <c r="H8" i="6"/>
  <c r="G8" i="6"/>
  <c r="M7" i="6"/>
  <c r="L7" i="6"/>
  <c r="J7" i="6"/>
  <c r="I7" i="6"/>
  <c r="H7" i="6"/>
  <c r="G7" i="6"/>
  <c r="M6" i="6"/>
  <c r="L6" i="6"/>
  <c r="J6" i="6"/>
  <c r="I6" i="6"/>
  <c r="H6" i="6"/>
  <c r="G6" i="6"/>
  <c r="M5" i="6"/>
  <c r="L5" i="6"/>
  <c r="J5" i="6"/>
  <c r="I5" i="6"/>
  <c r="H5" i="6"/>
  <c r="G5" i="6"/>
  <c r="M4" i="6"/>
  <c r="L4" i="6"/>
  <c r="J4" i="6"/>
  <c r="I4" i="6"/>
  <c r="H4" i="6"/>
  <c r="G4" i="6"/>
  <c r="M3" i="6"/>
  <c r="L3" i="6"/>
  <c r="J3" i="6"/>
  <c r="I3" i="6"/>
  <c r="H3" i="6"/>
  <c r="G3" i="6"/>
  <c r="G24" i="5" l="1"/>
  <c r="G26" i="5" s="1"/>
  <c r="L20" i="5"/>
  <c r="K20" i="5"/>
  <c r="G20" i="5"/>
  <c r="H20" i="5" s="1"/>
  <c r="L19" i="5"/>
  <c r="K19" i="5"/>
  <c r="G19" i="5"/>
  <c r="L18" i="5"/>
  <c r="K18" i="5"/>
  <c r="G18" i="5"/>
  <c r="I18" i="5" s="1"/>
  <c r="L17" i="5"/>
  <c r="K17" i="5"/>
  <c r="G17" i="5"/>
  <c r="L16" i="5"/>
  <c r="K16" i="5"/>
  <c r="G16" i="5"/>
  <c r="L15" i="5"/>
  <c r="K15" i="5"/>
  <c r="G15" i="5"/>
  <c r="I15" i="5" s="1"/>
  <c r="L14" i="5"/>
  <c r="K14" i="5"/>
  <c r="G14" i="5"/>
  <c r="I14" i="5" s="1"/>
  <c r="L13" i="5"/>
  <c r="K13" i="5"/>
  <c r="G13" i="5"/>
  <c r="L12" i="5"/>
  <c r="K12" i="5"/>
  <c r="G12" i="5"/>
  <c r="I12" i="5" s="1"/>
  <c r="L11" i="5"/>
  <c r="K11" i="5"/>
  <c r="G11" i="5"/>
  <c r="I11" i="5" s="1"/>
  <c r="L10" i="5"/>
  <c r="K10" i="5"/>
  <c r="G10" i="5"/>
  <c r="I10" i="5" s="1"/>
  <c r="L9" i="5"/>
  <c r="K9" i="5"/>
  <c r="G9" i="5"/>
  <c r="I9" i="5" s="1"/>
  <c r="L8" i="5"/>
  <c r="K8" i="5"/>
  <c r="G8" i="5"/>
  <c r="L7" i="5"/>
  <c r="K7" i="5"/>
  <c r="G7" i="5"/>
  <c r="L6" i="5"/>
  <c r="K6" i="5"/>
  <c r="G6" i="5"/>
  <c r="I6" i="5" s="1"/>
  <c r="L5" i="5"/>
  <c r="K5" i="5"/>
  <c r="G5" i="5"/>
  <c r="I5" i="5" s="1"/>
  <c r="L4" i="5"/>
  <c r="K4" i="5"/>
  <c r="G4" i="5"/>
  <c r="I4" i="5" s="1"/>
  <c r="L3" i="5"/>
  <c r="K3" i="5"/>
  <c r="J3" i="5"/>
  <c r="G3" i="5"/>
  <c r="I3" i="5" s="1"/>
  <c r="L2" i="5"/>
  <c r="K2" i="5"/>
  <c r="G2" i="5"/>
  <c r="J2" i="5" s="1"/>
  <c r="J13" i="5" l="1"/>
  <c r="J19" i="5"/>
  <c r="J8" i="5"/>
  <c r="H7" i="5"/>
  <c r="H16" i="5"/>
  <c r="I7" i="5"/>
  <c r="I16" i="5"/>
  <c r="J4" i="5"/>
  <c r="H5" i="5"/>
  <c r="H11" i="5"/>
  <c r="H17" i="5"/>
  <c r="I2" i="5"/>
  <c r="I8" i="5"/>
  <c r="I20" i="5"/>
  <c r="J5" i="5"/>
  <c r="G22" i="5"/>
  <c r="H4" i="5"/>
  <c r="H13" i="5"/>
  <c r="I13" i="5"/>
  <c r="J10" i="5"/>
  <c r="H10" i="5"/>
  <c r="H19" i="5"/>
  <c r="I19" i="5"/>
  <c r="H2" i="5"/>
  <c r="H8" i="5"/>
  <c r="H14" i="5"/>
  <c r="I17" i="5"/>
  <c r="H3" i="5"/>
  <c r="H6" i="5"/>
  <c r="H9" i="5"/>
  <c r="H12" i="5"/>
  <c r="H15" i="5"/>
  <c r="H18" i="5"/>
  <c r="J18" i="5" l="1"/>
  <c r="J12" i="5"/>
  <c r="J6" i="5"/>
  <c r="J20" i="5"/>
  <c r="J15" i="5"/>
  <c r="J9" i="5"/>
  <c r="J7" i="5"/>
  <c r="J14" i="5"/>
  <c r="J17" i="5"/>
  <c r="J11" i="5"/>
  <c r="J16"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<sst xmlns="http://schemas.openxmlformats.org/spreadsheetml/2006/main" count="219" uniqueCount="157">
  <si>
    <t>PR. 1 Fundamental Booster</t>
  </si>
  <si>
    <r>
      <t xml:space="preserve">Topics:
</t>
    </r>
    <r>
      <rPr>
        <sz val="11"/>
        <color theme="1"/>
        <rFont val="Calibri"/>
        <family val="2"/>
        <scheme val="minor"/>
      </rPr>
      <t>-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theme="1"/>
        <rFont val="Calibri"/>
        <family val="2"/>
        <scheme val="minor"/>
      </rPr>
      <t xml:space="preserve">
</t>
    </r>
    <r>
      <rPr>
        <sz val="11"/>
        <color theme="1"/>
        <rFont val="Calibri"/>
        <family val="2"/>
        <scheme val="minor"/>
      </rPr>
      <t xml:space="preserve">
</t>
    </r>
    <r>
      <rPr>
        <b/>
        <sz val="11"/>
        <color rgb="FF38761D"/>
        <rFont val="Calibri"/>
        <family val="2"/>
        <scheme val="minor"/>
      </rPr>
      <t>Main Tasks:</t>
    </r>
    <r>
      <rPr>
        <sz val="11"/>
        <color rgb="FF38761D"/>
        <rFont val="Calibri"/>
        <family val="2"/>
        <scheme val="minor"/>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theme="1"/>
        <rFont val="Calibri"/>
        <family val="2"/>
        <scheme val="minor"/>
      </rPr>
      <t xml:space="preserve">
</t>
    </r>
    <r>
      <rPr>
        <b/>
        <sz val="11"/>
        <color theme="1"/>
        <rFont val="Calibri"/>
        <family val="2"/>
        <scheme val="minor"/>
      </rPr>
      <t xml:space="preserve">Deliverable:
</t>
    </r>
    <r>
      <rPr>
        <sz val="11"/>
        <color theme="1"/>
        <rFont val="Calibri"/>
        <family val="2"/>
        <scheme val="minor"/>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</si>
  <si>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</si>
  <si>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</si>
  <si>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</si>
  <si>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</si>
  <si>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</si>
  <si>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</si>
  <si>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</si>
  <si>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</si>
  <si>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</si>
  <si>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</si>
  <si>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</si>
  <si>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</si>
  <si>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</si>
  <si>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</si>
  <si>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</si>
  <si>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</si>
  <si>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</si>
  <si>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</si>
  <si>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</si>
  <si>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</si>
  <si>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</si>
  <si>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</si>
  <si>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</si>
  <si>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</si>
  <si>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</si>
  <si>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</si>
  <si>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</si>
  <si>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</si>
  <si>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</si>
  <si>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</si>
  <si>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</si>
  <si>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</si>
  <si>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</si>
  <si>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</si>
  <si>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</si>
  <si>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</si>
  <si>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</si>
  <si>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</si>
  <si>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</si>
  <si>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</si>
  <si>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</si>
  <si>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</si>
  <si>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</si>
  <si>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</si>
  <si>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</si>
  <si>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Average Marks</t>
  </si>
  <si>
    <t>Grades</t>
  </si>
  <si>
    <t>Pass/ fail</t>
  </si>
  <si>
    <t>Count Above 60 marks</t>
  </si>
  <si>
    <t>Countifs</t>
  </si>
  <si>
    <t>Above 80 math &amp; science apply if OR &amp; And</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</si>
  <si>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</si>
  <si>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</si>
  <si>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</si>
  <si>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</si>
  <si>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</si>
  <si>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</si>
  <si>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</si>
  <si>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</si>
  <si>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</si>
  <si>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</si>
  <si>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</si>
  <si>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</si>
  <si>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</si>
  <si>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</si>
  <si>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</si>
  <si>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</si>
  <si>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</si>
  <si>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</si>
  <si>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</si>
  <si>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Above 80 marks</t>
  </si>
  <si>
    <t>Above 60 Average</t>
  </si>
  <si>
    <t>Roundup Values</t>
  </si>
  <si>
    <t>Vlookup Functions Fatched Sales by using vlookup</t>
  </si>
  <si>
    <t>Compute discounts</t>
  </si>
  <si>
    <t>Sales ID</t>
  </si>
  <si>
    <t>Product</t>
  </si>
  <si>
    <t>Region</t>
  </si>
  <si>
    <t>Salesperson</t>
  </si>
  <si>
    <t>Amount</t>
  </si>
  <si>
    <t>Date</t>
  </si>
  <si>
    <t>Extract Month &amp; year from Data</t>
  </si>
  <si>
    <t>Upper</t>
  </si>
  <si>
    <t xml:space="preserve">Lower </t>
  </si>
  <si>
    <t>Left &amp; find</t>
  </si>
  <si>
    <t>Sales Amount</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</si>
  <si>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</si>
  <si>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</si>
  <si>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</si>
  <si>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</si>
  <si>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</si>
  <si>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</si>
  <si>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</si>
  <si>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</si>
  <si>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</si>
  <si>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</si>
  <si>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</si>
  <si>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</si>
  <si>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</si>
  <si>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</si>
  <si>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</si>
  <si>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</si>
  <si>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</si>
  <si>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</si>
  <si>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</si>
  <si>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</si>
  <si>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</si>
  <si>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</si>
  <si>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</si>
  <si>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</si>
  <si>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</si>
  <si>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</si>
  <si>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</si>
  <si>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</si>
  <si>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</si>
  <si>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SUBTOTAL</t>
  </si>
  <si>
    <t>Last 5 trasitions sales Trends</t>
  </si>
  <si>
    <t>Position</t>
  </si>
  <si>
    <t>Products wise and Region wise sales</t>
  </si>
  <si>
    <t>Date of Birth</t>
  </si>
  <si>
    <t>Current Date</t>
  </si>
  <si>
    <t>Index &amp; Match</t>
  </si>
  <si>
    <t>Sales</t>
  </si>
  <si>
    <t>Current Time</t>
  </si>
  <si>
    <t>Jan-2023</t>
  </si>
  <si>
    <t>Age</t>
  </si>
  <si>
    <t>Employee ID</t>
  </si>
  <si>
    <t>Department</t>
  </si>
  <si>
    <t>Salary</t>
  </si>
  <si>
    <t>Joining Date</t>
  </si>
  <si>
    <t>Extract year from 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</si>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</sst>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F400]h\.mm\.ss\ AM/PM"/>
  </numFmts>
  <fonts count="16" x14ac:knownFonts="1">
    <font>
      <sz val="11"/>
      <color theme="1"/>
      <name val="Calibri"/>
      <family val="2"/>
      <scheme val="minor"/>
    </font>
    <font>
      <b/>
      <sz val="11"/>
      <color theme="1"/>
      <name val="Calibri"/>
      <family val="2"/>
      <scheme val="minor"/>
    </font>
    <font>
      <b/>
      <sz val="11"/>
      <color rgb="FF38761D"/>
      <name val="Calibri"/>
      <family val="2"/>
      <scheme val="minor"/>
    </font>
    <font>
      <sz val="11"/>
      <color rgb="FF38761D"/>
      <name val="Calibri"/>
      <family val="2"/>
      <scheme val="minor"/>
    </font>
    <font>
      <b/>
      <sz val="11"/>
      <color theme="0"/>
      <name val="Calibri"/>
      <family val="2"/>
      <scheme val="minor"/>
    </font>
    <font>
      <b/>
      <i/>
      <sz val="14"/>
      <color theme="1"/>
      <name val="Calibri"/>
      <family val="2"/>
      <scheme val="minor"/>
    </font>
    <font>
      <b/>
      <sz val="14"/>
      <color theme="1"/>
      <name val="Calibri"/>
      <family val="2"/>
      <scheme val="minor"/>
    </font>
    <font>
      <i/>
      <sz val="12"/>
      <color theme="1"/>
      <name val="Calibri"/>
      <family val="2"/>
      <scheme val="minor"/>
    </font>
    <font>
      <b/>
      <i/>
      <sz val="12"/>
      <color theme="1"/>
      <name val="Calibri"/>
      <family val="2"/>
      <scheme val="minor"/>
    </font>
    <font>
      <b/>
      <sz val="12"/>
      <color theme="1"/>
      <name val="Calibri"/>
      <family val="2"/>
      <scheme val="minor"/>
    </font>
    <font>
      <i/>
      <sz val="11"/>
      <color theme="1"/>
      <name val="Calibri"/>
      <family val="2"/>
      <scheme val="minor"/>
    </font>
    <font>
      <b/>
      <i/>
      <sz val="11"/>
      <color theme="1"/>
      <name val="Calibri"/>
      <family val="2"/>
      <scheme val="minor"/>
    </font>
    <font>
      <b/>
      <sz val="12"/>
      <name val="Calibri"/>
      <family val="2"/>
      <scheme val="minor"/>
    </font>
    <font>
      <b/>
      <i/>
      <sz val="12"/>
      <name val="Calibri"/>
      <family val="2"/>
      <scheme val="minor"/>
    </font>
    <font>
      <b/>
      <sz val="11"/>
      <name val="Calibri"/>
      <family val="2"/>
      <scheme val="minor"/>
    </font>
    <font>
      <sz val="11"/>
      <name val="Calibri"/>
      <family val="2"/>
      <scheme val="minor"/>
    </font>
  </fonts>
  <fills count="11">
    <fill>
      <patternFill patternType="none"/>
    </fill>
    <fill>
      <patternFill patternType="gray125"/>
    </fill>
    <fill>
      <patternFill patternType="solid">
        <fgColor rgb="FFFFF2CC"/>
        <bgColor indexed="64"/>
      </patternFill>
    </fill>
    <fill>
      <patternFill patternType="solid">
        <fgColor theme="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bgColor theme="4"/>
      </patternFill>
    </fill>
    <fill>
      <patternFill patternType="solid">
        <fgColor theme="4" tint="0.79998168889431442"/>
        <bgColor theme="4" tint="0.79998168889431442"/>
      </patternFill>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000000"/>
      </top>
      <bottom style="medium">
        <color rgb="FF000000"/>
      </bottom>
      <diagonal/>
    </border>
    <border>
      <left style="medium">
        <color indexed="64"/>
      </left>
      <right style="medium">
        <color indexed="64"/>
      </right>
      <top style="medium">
        <color indexed="64"/>
      </top>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CCCCCC"/>
      </top>
      <bottom style="medium">
        <color rgb="FF000000"/>
      </bottom>
      <diagonal/>
    </border>
    <border>
      <left style="medium">
        <color indexed="64"/>
      </left>
      <right style="medium">
        <color indexed="64"/>
      </right>
      <top/>
      <bottom/>
      <diagonal/>
    </border>
    <border>
      <left style="medium">
        <color rgb="FFCCCCCC"/>
      </left>
      <right style="medium">
        <color rgb="FF000000"/>
      </right>
      <top style="medium">
        <color rgb="FFCCCCCC"/>
      </top>
      <bottom/>
      <diagonal/>
    </border>
  </borders>
  <cellStyleXfs count="1">
    <xf numFmtId="0" fontId="0" fillId="0" borderId="0"/>
  </cellStyleXfs>
  <cellXfs count="89">
    <xf numFmtId="0" fontId="0" fillId="0" borderId="0" xfId="0"/>
    <xf numFmtId="0" fontId="0" fillId="0" borderId="0" xfId="0" applyAlignment="1">
      <alignment wrapText="1"/>
    </xf>
    <xf numFmtId="0" fontId="1" fillId="0" borderId="2" xfId="0" applyFont="1" applyBorder="1" applyAlignment="1">
      <alignment vertical="center" wrapText="1"/>
    </xf>
    <xf numFmtId="0" fontId="1" fillId="2" borderId="1" xfId="0" applyFont="1" applyFill="1" applyBorder="1" applyAlignment="1">
      <alignment horizontal="center" vertical="center"/>
    </xf>
    <xf numFmtId="0" fontId="1" fillId="0" borderId="2" xfId="0" applyFont="1"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1" fillId="2" borderId="2" xfId="0" applyFont="1" applyFill="1" applyBorder="1" applyAlignment="1">
      <alignment horizontal="center" vertical="center"/>
    </xf>
    <xf numFmtId="0" fontId="0" fillId="0" borderId="2" xfId="0" applyBorder="1" applyAlignment="1">
      <alignment vertical="center"/>
    </xf>
    <xf numFmtId="14" fontId="0" fillId="0" borderId="0" xfId="0" applyNumberFormat="1" applyAlignment="1">
      <alignment wrapText="1"/>
    </xf>
    <xf numFmtId="0" fontId="5" fillId="2" borderId="5" xfId="0" applyFont="1" applyFill="1" applyBorder="1" applyAlignment="1">
      <alignment horizontal="center" vertical="center"/>
    </xf>
    <xf numFmtId="14" fontId="5" fillId="2" borderId="5" xfId="0" applyNumberFormat="1"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0" borderId="7" xfId="0" applyFont="1" applyBorder="1" applyAlignment="1">
      <alignment horizontal="center" vertical="center" wrapText="1"/>
    </xf>
    <xf numFmtId="0" fontId="6" fillId="3" borderId="7" xfId="0" applyFont="1" applyFill="1" applyBorder="1" applyAlignment="1">
      <alignment vertical="center"/>
    </xf>
    <xf numFmtId="0" fontId="6" fillId="0" borderId="0" xfId="0" applyFont="1"/>
    <xf numFmtId="0" fontId="7" fillId="0" borderId="5" xfId="0" applyFont="1" applyBorder="1" applyAlignment="1">
      <alignment horizontal="center" vertical="center"/>
    </xf>
    <xf numFmtId="14" fontId="7" fillId="0" borderId="5" xfId="0" applyNumberFormat="1" applyFont="1" applyBorder="1" applyAlignment="1">
      <alignment horizontal="center" vertical="center"/>
    </xf>
    <xf numFmtId="2" fontId="7" fillId="0" borderId="5" xfId="0" applyNumberFormat="1" applyFont="1" applyBorder="1" applyAlignment="1">
      <alignment horizontal="center"/>
    </xf>
    <xf numFmtId="0" fontId="7" fillId="0" borderId="5" xfId="0" applyFont="1" applyBorder="1" applyAlignment="1">
      <alignment horizontal="center"/>
    </xf>
    <xf numFmtId="2" fontId="7" fillId="0" borderId="6" xfId="0" applyNumberFormat="1" applyFont="1" applyBorder="1"/>
    <xf numFmtId="2" fontId="7" fillId="0" borderId="7" xfId="0" applyNumberFormat="1" applyFont="1" applyBorder="1"/>
    <xf numFmtId="0" fontId="0" fillId="0" borderId="7" xfId="0" applyBorder="1"/>
    <xf numFmtId="0" fontId="7" fillId="0" borderId="8" xfId="0" applyFont="1" applyBorder="1" applyAlignment="1">
      <alignment horizontal="center" vertical="center"/>
    </xf>
    <xf numFmtId="14" fontId="7" fillId="0" borderId="8" xfId="0" applyNumberFormat="1" applyFont="1" applyBorder="1" applyAlignment="1">
      <alignment horizontal="center" vertical="center"/>
    </xf>
    <xf numFmtId="2" fontId="7" fillId="0" borderId="8" xfId="0" applyNumberFormat="1" applyFont="1" applyBorder="1" applyAlignment="1">
      <alignment horizontal="center"/>
    </xf>
    <xf numFmtId="0" fontId="7" fillId="0" borderId="8" xfId="0" applyFont="1" applyBorder="1" applyAlignment="1">
      <alignment horizontal="center"/>
    </xf>
    <xf numFmtId="0" fontId="6" fillId="4" borderId="7" xfId="0" applyFont="1" applyFill="1" applyBorder="1" applyAlignment="1">
      <alignment horizontal="center" vertical="center"/>
    </xf>
    <xf numFmtId="0" fontId="8" fillId="0" borderId="7" xfId="0" applyFont="1" applyBorder="1" applyAlignment="1">
      <alignment horizontal="center"/>
    </xf>
    <xf numFmtId="0" fontId="6" fillId="0" borderId="0" xfId="0" applyFont="1" applyAlignment="1">
      <alignment horizontal="center" vertical="center"/>
    </xf>
    <xf numFmtId="0" fontId="8" fillId="0" borderId="0" xfId="0" applyFont="1" applyAlignment="1">
      <alignment horizontal="center"/>
    </xf>
    <xf numFmtId="14" fontId="9" fillId="4" borderId="7" xfId="0" applyNumberFormat="1" applyFont="1" applyFill="1" applyBorder="1" applyAlignment="1">
      <alignment horizontal="center"/>
    </xf>
    <xf numFmtId="0" fontId="9" fillId="0" borderId="7" xfId="0" applyFont="1" applyBorder="1" applyAlignment="1">
      <alignment horizontal="center"/>
    </xf>
    <xf numFmtId="14" fontId="0" fillId="0" borderId="0" xfId="0" applyNumberFormat="1"/>
    <xf numFmtId="0" fontId="0" fillId="0" borderId="0" xfId="0" applyAlignment="1">
      <alignment horizontal="center"/>
    </xf>
    <xf numFmtId="0" fontId="1" fillId="2" borderId="9" xfId="0" applyFont="1" applyFill="1" applyBorder="1" applyAlignment="1">
      <alignment horizontal="center" vertical="center"/>
    </xf>
    <xf numFmtId="14" fontId="1" fillId="2" borderId="10" xfId="0" applyNumberFormat="1" applyFont="1" applyFill="1" applyBorder="1" applyAlignment="1">
      <alignment horizontal="center" vertical="center"/>
    </xf>
    <xf numFmtId="14" fontId="1" fillId="2" borderId="11" xfId="0" applyNumberFormat="1" applyFont="1" applyFill="1" applyBorder="1" applyAlignment="1">
      <alignment horizontal="center" vertical="center" wrapText="1"/>
    </xf>
    <xf numFmtId="0" fontId="1" fillId="2" borderId="12" xfId="0" applyFont="1" applyFill="1" applyBorder="1" applyAlignment="1">
      <alignment horizontal="center" vertical="center"/>
    </xf>
    <xf numFmtId="0" fontId="1" fillId="4" borderId="7" xfId="0" applyFont="1" applyFill="1" applyBorder="1" applyAlignment="1">
      <alignment horizontal="center" vertical="center"/>
    </xf>
    <xf numFmtId="0" fontId="10" fillId="0" borderId="2" xfId="0" applyFont="1" applyBorder="1" applyAlignment="1">
      <alignment horizontal="center" vertical="center"/>
    </xf>
    <xf numFmtId="0" fontId="10" fillId="0" borderId="14" xfId="0" applyFont="1" applyBorder="1" applyAlignment="1">
      <alignment horizontal="center" vertical="center"/>
    </xf>
    <xf numFmtId="14" fontId="10" fillId="0" borderId="15" xfId="0" applyNumberFormat="1" applyFont="1" applyBorder="1" applyAlignment="1">
      <alignment horizontal="center" vertical="center"/>
    </xf>
    <xf numFmtId="14" fontId="10" fillId="0" borderId="16" xfId="0" applyNumberFormat="1" applyFont="1" applyBorder="1" applyAlignment="1">
      <alignment horizontal="center" vertical="center"/>
    </xf>
    <xf numFmtId="0" fontId="10" fillId="0" borderId="17" xfId="0" applyFont="1" applyBorder="1" applyAlignment="1">
      <alignment horizontal="center" vertical="center"/>
    </xf>
    <xf numFmtId="0" fontId="10" fillId="0" borderId="7" xfId="0" applyFont="1" applyBorder="1" applyAlignment="1">
      <alignment horizontal="center" vertical="center"/>
    </xf>
    <xf numFmtId="0" fontId="10" fillId="0" borderId="7" xfId="0" applyFont="1" applyBorder="1" applyAlignment="1">
      <alignment horizontal="center"/>
    </xf>
    <xf numFmtId="10" fontId="0" fillId="0" borderId="7" xfId="0" applyNumberFormat="1" applyBorder="1"/>
    <xf numFmtId="14" fontId="10" fillId="0" borderId="18" xfId="0" applyNumberFormat="1" applyFont="1" applyBorder="1" applyAlignment="1">
      <alignment horizontal="center" vertical="center"/>
    </xf>
    <xf numFmtId="0" fontId="10" fillId="0" borderId="19" xfId="0" applyFont="1" applyBorder="1" applyAlignment="1">
      <alignment horizontal="center" vertical="center"/>
    </xf>
    <xf numFmtId="0" fontId="10" fillId="0" borderId="0" xfId="0" applyFont="1" applyAlignment="1">
      <alignment horizontal="center" vertical="center"/>
    </xf>
    <xf numFmtId="0" fontId="10" fillId="0" borderId="16" xfId="0" applyFont="1" applyBorder="1" applyAlignment="1">
      <alignment horizontal="center" vertical="center"/>
    </xf>
    <xf numFmtId="14" fontId="10" fillId="0" borderId="0" xfId="0" applyNumberFormat="1" applyFont="1" applyAlignment="1">
      <alignment horizontal="center" vertical="center"/>
    </xf>
    <xf numFmtId="0" fontId="10" fillId="0" borderId="0" xfId="0" applyFont="1" applyAlignment="1">
      <alignment horizontal="center"/>
    </xf>
    <xf numFmtId="10" fontId="0" fillId="0" borderId="0" xfId="0" applyNumberFormat="1"/>
    <xf numFmtId="0" fontId="1" fillId="7" borderId="7" xfId="0" applyFont="1" applyFill="1" applyBorder="1"/>
    <xf numFmtId="0" fontId="1" fillId="7" borderId="7" xfId="0" applyFont="1" applyFill="1" applyBorder="1" applyAlignment="1">
      <alignment horizontal="center"/>
    </xf>
    <xf numFmtId="14" fontId="0" fillId="0" borderId="7" xfId="0" applyNumberFormat="1" applyBorder="1"/>
    <xf numFmtId="164" fontId="0" fillId="0" borderId="7" xfId="0" applyNumberFormat="1" applyBorder="1"/>
    <xf numFmtId="0" fontId="11" fillId="8" borderId="7" xfId="0" applyFont="1" applyFill="1" applyBorder="1" applyAlignment="1">
      <alignment horizontal="center" vertical="center" wrapText="1"/>
    </xf>
    <xf numFmtId="0" fontId="13" fillId="7" borderId="7" xfId="0" applyFont="1" applyFill="1" applyBorder="1" applyAlignment="1">
      <alignment horizontal="center" vertical="center"/>
    </xf>
    <xf numFmtId="0" fontId="0" fillId="0" borderId="7" xfId="0" applyBorder="1" applyAlignment="1">
      <alignment vertical="center" wrapText="1"/>
    </xf>
    <xf numFmtId="44" fontId="10" fillId="0" borderId="0" xfId="0" applyNumberFormat="1" applyFont="1" applyAlignment="1">
      <alignment horizontal="center" vertical="center"/>
    </xf>
    <xf numFmtId="14" fontId="11" fillId="0" borderId="7" xfId="0" applyNumberFormat="1" applyFont="1" applyBorder="1"/>
    <xf numFmtId="0" fontId="4" fillId="9" borderId="5" xfId="0" applyFont="1" applyFill="1" applyBorder="1" applyAlignment="1">
      <alignment horizontal="center" wrapText="1"/>
    </xf>
    <xf numFmtId="0" fontId="4" fillId="9" borderId="6" xfId="0" applyFont="1" applyFill="1" applyBorder="1" applyAlignment="1">
      <alignment horizontal="center" wrapText="1"/>
    </xf>
    <xf numFmtId="165" fontId="11" fillId="0" borderId="7" xfId="0" applyNumberFormat="1" applyFont="1" applyBorder="1"/>
    <xf numFmtId="0" fontId="0" fillId="10" borderId="5" xfId="0" applyFill="1" applyBorder="1"/>
    <xf numFmtId="0" fontId="0" fillId="10" borderId="6" xfId="0" applyFill="1" applyBorder="1" applyAlignment="1">
      <alignment horizontal="center"/>
    </xf>
    <xf numFmtId="0" fontId="0" fillId="0" borderId="8" xfId="0" applyBorder="1"/>
    <xf numFmtId="14" fontId="0" fillId="0" borderId="7" xfId="0" applyNumberFormat="1" applyBorder="1" applyAlignment="1">
      <alignment horizontal="center"/>
    </xf>
    <xf numFmtId="1" fontId="11" fillId="0" borderId="7" xfId="0" applyNumberFormat="1" applyFont="1" applyBorder="1"/>
    <xf numFmtId="0" fontId="14" fillId="3" borderId="12" xfId="0" applyFont="1" applyFill="1" applyBorder="1" applyAlignment="1">
      <alignment horizontal="center" vertical="center"/>
    </xf>
    <xf numFmtId="0" fontId="14" fillId="3" borderId="9" xfId="0" applyFont="1" applyFill="1" applyBorder="1" applyAlignment="1">
      <alignment horizontal="center" vertical="center"/>
    </xf>
    <xf numFmtId="14" fontId="14" fillId="3" borderId="10" xfId="0" applyNumberFormat="1" applyFont="1" applyFill="1" applyBorder="1" applyAlignment="1">
      <alignment horizontal="center" vertical="center"/>
    </xf>
    <xf numFmtId="14" fontId="14" fillId="3" borderId="8" xfId="0" applyNumberFormat="1" applyFont="1" applyFill="1" applyBorder="1" applyAlignment="1">
      <alignment horizontal="center" vertical="center"/>
    </xf>
    <xf numFmtId="0" fontId="15" fillId="7" borderId="17" xfId="0" applyFont="1" applyFill="1" applyBorder="1" applyAlignment="1">
      <alignment horizontal="center" vertical="center"/>
    </xf>
    <xf numFmtId="0" fontId="15" fillId="7" borderId="14" xfId="0" applyFont="1" applyFill="1" applyBorder="1" applyAlignment="1">
      <alignment horizontal="center" vertical="center"/>
    </xf>
    <xf numFmtId="14" fontId="15" fillId="7" borderId="15" xfId="0" applyNumberFormat="1" applyFont="1" applyFill="1" applyBorder="1" applyAlignment="1">
      <alignment horizontal="center" vertical="center"/>
    </xf>
    <xf numFmtId="0" fontId="15" fillId="7" borderId="8" xfId="0" applyFont="1" applyFill="1" applyBorder="1" applyAlignment="1">
      <alignment horizontal="center" vertical="center"/>
    </xf>
    <xf numFmtId="0" fontId="0" fillId="0" borderId="0" xfId="0" applyAlignment="1">
      <alignment horizontal="center" vertical="center"/>
    </xf>
    <xf numFmtId="0" fontId="1" fillId="2" borderId="7" xfId="0" applyFont="1" applyFill="1" applyBorder="1" applyAlignment="1">
      <alignment horizontal="center" vertical="center"/>
    </xf>
    <xf numFmtId="0" fontId="0" fillId="0" borderId="7" xfId="0" applyBorder="1" applyAlignment="1">
      <alignment horizontal="center" vertical="center"/>
    </xf>
    <xf numFmtId="0" fontId="12" fillId="7" borderId="7" xfId="0" applyFont="1" applyFill="1" applyBorder="1" applyAlignment="1">
      <alignment wrapText="1"/>
    </xf>
    <xf numFmtId="0" fontId="0" fillId="5" borderId="7" xfId="0" applyFill="1" applyBorder="1" applyAlignment="1">
      <alignment horizontal="center" vertical="center" wrapText="1"/>
    </xf>
    <xf numFmtId="0" fontId="0" fillId="6" borderId="6" xfId="0" applyFill="1" applyBorder="1" applyAlignment="1">
      <alignment horizontal="center" vertical="center"/>
    </xf>
    <xf numFmtId="0" fontId="0" fillId="6" borderId="13" xfId="0" applyFill="1" applyBorder="1" applyAlignment="1">
      <alignment horizontal="center" vertical="center"/>
    </xf>
    <xf numFmtId="14" fontId="11" fillId="8" borderId="7" xfId="0" applyNumberFormat="1" applyFont="1" applyFill="1" applyBorder="1" applyAlignment="1">
      <alignment horizontal="center"/>
    </xf>
  </cellXfs>
  <cellStyles count="1">
    <cellStyle name="Normal" xfId="0" builtinId="0"/>
  </cellStyles>
  <dxfs count="9">
    <dxf>
      <font>
        <strike val="0"/>
        <outline val="0"/>
        <shadow val="0"/>
        <u val="none"/>
        <vertAlign val="baseline"/>
        <sz val="11"/>
        <color auto="1"/>
        <name val="Calibri"/>
        <family val="2"/>
        <scheme val="minor"/>
      </font>
      <numFmt numFmtId="0" formatCode="General"/>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color auto="1"/>
        <name val="Calibri"/>
        <family val="2"/>
        <scheme val="minor"/>
      </font>
      <numFmt numFmtId="19" formatCode="dd/mm/yyyy"/>
      <fill>
        <patternFill patternType="solid">
          <fgColor indexed="64"/>
          <bgColor theme="4" tint="0.79998168889431442"/>
        </patternFill>
      </fill>
      <alignment horizontal="center" vertical="center" textRotation="0" wrapText="0" indent="0" justifyLastLine="0" shrinkToFit="0" readingOrder="0"/>
      <border diagonalUp="0" diagonalDown="0" outline="0">
        <left style="medium">
          <color rgb="FFCCCCCC"/>
        </left>
        <right style="thin">
          <color indexed="64"/>
        </right>
        <top style="medium">
          <color rgb="FFCCCCCC"/>
        </top>
        <bottom style="medium">
          <color rgb="FF000000"/>
        </bottom>
      </border>
    </dxf>
    <dxf>
      <font>
        <strike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medium">
          <color rgb="FFCCCCCC"/>
        </left>
        <right style="medium">
          <color rgb="FF000000"/>
        </right>
        <top style="medium">
          <color rgb="FFCCCCCC"/>
        </top>
        <bottom style="medium">
          <color rgb="FF000000"/>
        </bottom>
      </border>
    </dxf>
    <dxf>
      <font>
        <strike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medium">
          <color rgb="FFCCCCCC"/>
        </left>
        <right style="medium">
          <color rgb="FF000000"/>
        </right>
        <top style="medium">
          <color rgb="FFCCCCCC"/>
        </top>
        <bottom style="medium">
          <color rgb="FF000000"/>
        </bottom>
      </border>
    </dxf>
    <dxf>
      <font>
        <strike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style="medium">
          <color rgb="FFCCCCCC"/>
        </left>
        <right style="medium">
          <color rgb="FF000000"/>
        </right>
        <top style="medium">
          <color rgb="FFCCCCCC"/>
        </top>
        <bottom style="medium">
          <color rgb="FF000000"/>
        </bottom>
      </border>
    </dxf>
    <dxf>
      <font>
        <strike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style="medium">
          <color rgb="FF000000"/>
        </right>
        <top style="medium">
          <color rgb="FFCCCCCC"/>
        </top>
        <bottom style="medium">
          <color rgb="FF000000"/>
        </bottom>
      </border>
    </dxf>
    <dxf>
      <border outline="0">
        <left style="medium">
          <color rgb="FF000000"/>
        </left>
        <right style="thin">
          <color indexed="64"/>
        </right>
      </border>
    </dxf>
    <dxf>
      <font>
        <strike val="0"/>
        <outline val="0"/>
        <shadow val="0"/>
        <u val="none"/>
        <vertAlign val="baseline"/>
        <sz val="11"/>
        <color auto="1"/>
        <name val="Calibri"/>
        <family val="2"/>
        <scheme val="minor"/>
      </font>
      <fill>
        <patternFill patternType="solid">
          <fgColor indexed="64"/>
          <bgColor theme="4"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8C7A87-4286-4B54-AD4B-D482C36CDC2C}" name="Table1" displayName="Table1" ref="A1:F21" totalsRowShown="0" headerRowDxfId="8" dataDxfId="7" tableBorderDxfId="6">
  <autoFilter ref="A1:F21" xr:uid="{F8E69671-EE1E-43DC-9D3B-5FED9868A5F9}"/>
  <tableColumns count="6">
    <tableColumn id="1" xr3:uid="{84FD6FBC-10A9-442B-91FE-2C68B6A39400}" name="Employee ID" dataDxfId="5"/>
    <tableColumn id="2" xr3:uid="{0E9C6D16-A030-482A-B5C5-00F5B9EC8934}" name="Name" dataDxfId="4"/>
    <tableColumn id="3" xr3:uid="{9B897618-8F07-4155-8005-D328D56F6E66}" name="Department" dataDxfId="3"/>
    <tableColumn id="4" xr3:uid="{991D54BB-7714-4EEF-A098-6AF9F71BBF6D}" name="Salary" dataDxfId="2"/>
    <tableColumn id="5" xr3:uid="{DE875FF4-6BFF-41F1-96D8-116CC945C7DE}" name="Joining Date" dataDxfId="1"/>
    <tableColumn id="6" xr3:uid="{5312C9AA-CB0D-4417-8F97-6C424FE1DDD7}" name="Extract year from joining date" dataDxfId="0">
      <calculatedColumnFormula>YEAR(E2)</calculatedColumnFormula>
    </tableColumn>
  </tableColumns>
  <tableStyleInfo name="TableStyleDark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1DF0-DE59-4CB3-98C0-2A95AEBAF9B4}">
  <dimension ref="A1:C56"/>
  <sheetViews>
    <sheetView tabSelected="1" zoomScale="87" workbookViewId="0">
      <selection activeCell="A17" sqref="A17"/>
    </sheetView>
  </sheetViews>
  <sheetFormatPr defaultColWidth="14.6328125" defaultRowHeight="14.5" x14ac:dyDescent="0.35"/>
  <cols>
    <col min="1" max="1" width="73.7265625" style="1" customWidth="1"/>
    <col min="2" max="2" width="15.08984375" style="1" customWidth="1"/>
    <col min="3" max="3" width="74.08984375" style="1" bestFit="1" customWidth="1"/>
    <col min="4" max="16384" width="14.6328125" style="1"/>
  </cols>
  <sheetData>
    <row r="1" spans="1:3" ht="15" thickBot="1" x14ac:dyDescent="0.4">
      <c r="A1" s="3" t="s">
        <v>0</v>
      </c>
    </row>
    <row r="2" spans="1:3" ht="305" thickBot="1" x14ac:dyDescent="0.4">
      <c r="A2" s="2" t="s">
        <v>1</v>
      </c>
    </row>
    <row r="3" spans="1:3" ht="15" thickBot="1" x14ac:dyDescent="0.4">
      <c r="A3" s="5"/>
    </row>
    <row r="4" spans="1:3" ht="15" thickBot="1" x14ac:dyDescent="0.4">
      <c r="A4" s="6"/>
      <c r="B4"/>
    </row>
    <row r="5" spans="1:3" ht="15" thickBot="1" x14ac:dyDescent="0.4">
      <c r="A5" s="7" t="s">
        <v>2</v>
      </c>
    </row>
    <row r="6" spans="1:3" ht="15" thickBot="1" x14ac:dyDescent="0.4">
      <c r="A6" s="4" t="s">
        <v>3</v>
      </c>
    </row>
    <row r="7" spans="1:3" ht="15" thickBot="1" x14ac:dyDescent="0.4">
      <c r="A7" s="8" t="s">
        <v>4</v>
      </c>
    </row>
    <row r="8" spans="1:3" ht="15" thickBot="1" x14ac:dyDescent="0.4">
      <c r="A8" s="8" t="s">
        <v>5</v>
      </c>
      <c r="C8" s="9"/>
    </row>
    <row r="9" spans="1:3" ht="15" thickBot="1" x14ac:dyDescent="0.4">
      <c r="A9" s="8"/>
    </row>
    <row r="10" spans="1:3" ht="15" thickBot="1" x14ac:dyDescent="0.4">
      <c r="A10" s="4" t="s">
        <v>6</v>
      </c>
    </row>
    <row r="11" spans="1:3" ht="15" thickBot="1" x14ac:dyDescent="0.4">
      <c r="A11" s="8" t="s">
        <v>7</v>
      </c>
    </row>
    <row r="12" spans="1:3" ht="15" thickBot="1" x14ac:dyDescent="0.4">
      <c r="A12" s="8" t="s">
        <v>8</v>
      </c>
    </row>
    <row r="13" spans="1:3" ht="15" thickBot="1" x14ac:dyDescent="0.4">
      <c r="A13" s="8"/>
    </row>
    <row r="14" spans="1:3" ht="15" thickBot="1" x14ac:dyDescent="0.4">
      <c r="A14" s="4" t="s">
        <v>9</v>
      </c>
    </row>
    <row r="15" spans="1:3" ht="15" thickBot="1" x14ac:dyDescent="0.4">
      <c r="A15" s="8" t="s">
        <v>10</v>
      </c>
    </row>
    <row r="16" spans="1:3" ht="15" thickBot="1" x14ac:dyDescent="0.4">
      <c r="A16" s="8" t="s">
        <v>11</v>
      </c>
    </row>
    <row r="17" spans="1:1" ht="15" thickBot="1" x14ac:dyDescent="0.4">
      <c r="A17" s="8"/>
    </row>
    <row r="18" spans="1:1" ht="15" thickBot="1" x14ac:dyDescent="0.4">
      <c r="A18" s="4" t="s">
        <v>12</v>
      </c>
    </row>
    <row r="19" spans="1:1" ht="15" thickBot="1" x14ac:dyDescent="0.4">
      <c r="A19" s="8" t="s">
        <v>13</v>
      </c>
    </row>
    <row r="20" spans="1:1" ht="15" thickBot="1" x14ac:dyDescent="0.4">
      <c r="A20" s="8" t="s">
        <v>14</v>
      </c>
    </row>
    <row r="21" spans="1:1" ht="15" thickBot="1" x14ac:dyDescent="0.4">
      <c r="A21" s="8" t="s">
        <v>15</v>
      </c>
    </row>
    <row r="22" spans="1:1" ht="15" thickBot="1" x14ac:dyDescent="0.4">
      <c r="A22" s="8"/>
    </row>
    <row r="23" spans="1:1" ht="15" thickBot="1" x14ac:dyDescent="0.4">
      <c r="A23" s="4" t="s">
        <v>16</v>
      </c>
    </row>
    <row r="24" spans="1:1" ht="15" thickBot="1" x14ac:dyDescent="0.4">
      <c r="A24" s="8" t="s">
        <v>17</v>
      </c>
    </row>
    <row r="25" spans="1:1" ht="15" thickBot="1" x14ac:dyDescent="0.4">
      <c r="A25" s="8" t="s">
        <v>18</v>
      </c>
    </row>
    <row r="26" spans="1:1" ht="15" thickBot="1" x14ac:dyDescent="0.4">
      <c r="A26" s="8"/>
    </row>
    <row r="27" spans="1:1" ht="15" thickBot="1" x14ac:dyDescent="0.4">
      <c r="A27" s="4" t="s">
        <v>19</v>
      </c>
    </row>
    <row r="28" spans="1:1" ht="15" thickBot="1" x14ac:dyDescent="0.4">
      <c r="A28" s="8" t="s">
        <v>20</v>
      </c>
    </row>
    <row r="29" spans="1:1" ht="15" thickBot="1" x14ac:dyDescent="0.4">
      <c r="A29" s="8" t="s">
        <v>21</v>
      </c>
    </row>
    <row r="30" spans="1:1" ht="15" thickBot="1" x14ac:dyDescent="0.4">
      <c r="A30" s="8"/>
    </row>
    <row r="31" spans="1:1" ht="15" thickBot="1" x14ac:dyDescent="0.4">
      <c r="A31" s="4" t="s">
        <v>22</v>
      </c>
    </row>
    <row r="32" spans="1:1" ht="15" thickBot="1" x14ac:dyDescent="0.4">
      <c r="A32" s="8" t="s">
        <v>23</v>
      </c>
    </row>
    <row r="33" spans="1:1" ht="15" thickBot="1" x14ac:dyDescent="0.4">
      <c r="A33" s="8" t="s">
        <v>24</v>
      </c>
    </row>
    <row r="34" spans="1:1" ht="15" thickBot="1" x14ac:dyDescent="0.4">
      <c r="A34" s="8"/>
    </row>
    <row r="35" spans="1:1" ht="15" thickBot="1" x14ac:dyDescent="0.4">
      <c r="A35" s="4" t="s">
        <v>25</v>
      </c>
    </row>
    <row r="36" spans="1:1" ht="15" thickBot="1" x14ac:dyDescent="0.4">
      <c r="A36" s="8" t="s">
        <v>26</v>
      </c>
    </row>
    <row r="37" spans="1:1" ht="15" thickBot="1" x14ac:dyDescent="0.4">
      <c r="A37" s="8" t="s">
        <v>27</v>
      </c>
    </row>
    <row r="38" spans="1:1" ht="15" thickBot="1" x14ac:dyDescent="0.4">
      <c r="A38" s="8"/>
    </row>
    <row r="39" spans="1:1" ht="15" thickBot="1" x14ac:dyDescent="0.4">
      <c r="A39" s="4" t="s">
        <v>28</v>
      </c>
    </row>
    <row r="40" spans="1:1" ht="15" thickBot="1" x14ac:dyDescent="0.4">
      <c r="A40" s="8" t="s">
        <v>29</v>
      </c>
    </row>
    <row r="41" spans="1:1" ht="15" thickBot="1" x14ac:dyDescent="0.4">
      <c r="A41" s="8"/>
    </row>
    <row r="42" spans="1:1" ht="15" thickBot="1" x14ac:dyDescent="0.4">
      <c r="A42" s="4" t="s">
        <v>30</v>
      </c>
    </row>
    <row r="43" spans="1:1" ht="15" thickBot="1" x14ac:dyDescent="0.4">
      <c r="A43" s="8" t="s">
        <v>31</v>
      </c>
    </row>
    <row r="44" spans="1:1" ht="15" thickBot="1" x14ac:dyDescent="0.4">
      <c r="A44" s="8"/>
    </row>
    <row r="45" spans="1:1" ht="15" thickBot="1" x14ac:dyDescent="0.4">
      <c r="A45" s="4" t="s">
        <v>32</v>
      </c>
    </row>
    <row r="46" spans="1:1" ht="15" thickBot="1" x14ac:dyDescent="0.4">
      <c r="A46" s="8" t="s">
        <v>33</v>
      </c>
    </row>
    <row r="47" spans="1:1" ht="15" thickBot="1" x14ac:dyDescent="0.4">
      <c r="A47" s="8"/>
    </row>
    <row r="48" spans="1:1" ht="15" thickBot="1" x14ac:dyDescent="0.4">
      <c r="A48" s="4" t="s">
        <v>34</v>
      </c>
    </row>
    <row r="49" spans="1:1" ht="15" thickBot="1" x14ac:dyDescent="0.4">
      <c r="A49" s="8" t="s">
        <v>35</v>
      </c>
    </row>
    <row r="50" spans="1:1" ht="15" thickBot="1" x14ac:dyDescent="0.4">
      <c r="A50" s="8" t="s">
        <v>36</v>
      </c>
    </row>
    <row r="51" spans="1:1" ht="15" thickBot="1" x14ac:dyDescent="0.4">
      <c r="A51" s="8"/>
    </row>
    <row r="52" spans="1:1" ht="15" thickBot="1" x14ac:dyDescent="0.4">
      <c r="A52" s="4" t="s">
        <v>37</v>
      </c>
    </row>
    <row r="53" spans="1:1" ht="15" thickBot="1" x14ac:dyDescent="0.4">
      <c r="A53" s="8" t="s">
        <v>38</v>
      </c>
    </row>
    <row r="54" spans="1:1" ht="15" thickBot="1" x14ac:dyDescent="0.4">
      <c r="A54" s="8"/>
    </row>
    <row r="55" spans="1:1" ht="15" thickBot="1" x14ac:dyDescent="0.4">
      <c r="A55" s="4" t="s">
        <v>39</v>
      </c>
    </row>
    <row r="56" spans="1:1" ht="15" thickBot="1" x14ac:dyDescent="0.4">
      <c r="A56" s="8"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490FB-7E1C-41D0-AE75-C973F3B290EF}">
  <dimension ref="A1:L26"/>
  <sheetViews>
    <sheetView zoomScale="62" zoomScaleNormal="40" workbookViewId="0">
      <selection activeCell="F18" sqref="F18"/>
    </sheetView>
  </sheetViews>
  <sheetFormatPr defaultRowHeight="14.5" x14ac:dyDescent="0.35"/>
  <cols>
    <col min="1" max="1" width="15" bestFit="1" customWidth="1"/>
    <col min="2" max="2" width="11.08984375" bestFit="1" customWidth="1"/>
    <col min="3" max="3" width="9.1796875" customWidth="1"/>
    <col min="4" max="4" width="11.1796875" customWidth="1"/>
    <col min="5" max="5" width="12.90625" customWidth="1"/>
    <col min="6" max="6" width="29.08984375" style="34" bestFit="1" customWidth="1"/>
    <col min="7" max="7" width="14.90625" style="35" bestFit="1" customWidth="1"/>
    <col min="8" max="8" width="9.1796875" customWidth="1"/>
    <col min="9" max="9" width="17" bestFit="1" customWidth="1"/>
    <col min="10" max="11" width="11.81640625" customWidth="1"/>
    <col min="12" max="12" width="50.08984375" bestFit="1" customWidth="1"/>
  </cols>
  <sheetData>
    <row r="1" spans="1:12" s="16" customFormat="1" ht="55.5" x14ac:dyDescent="0.45">
      <c r="A1" s="10" t="s">
        <v>41</v>
      </c>
      <c r="B1" s="10" t="s">
        <v>42</v>
      </c>
      <c r="C1" s="10" t="s">
        <v>43</v>
      </c>
      <c r="D1" s="10" t="s">
        <v>44</v>
      </c>
      <c r="E1" s="10" t="s">
        <v>45</v>
      </c>
      <c r="F1" s="11" t="s">
        <v>46</v>
      </c>
      <c r="G1" s="12" t="s">
        <v>47</v>
      </c>
      <c r="H1" s="10" t="s">
        <v>48</v>
      </c>
      <c r="I1" s="10" t="s">
        <v>49</v>
      </c>
      <c r="J1" s="13" t="s">
        <v>50</v>
      </c>
      <c r="K1" s="14" t="s">
        <v>51</v>
      </c>
      <c r="L1" s="15" t="s">
        <v>52</v>
      </c>
    </row>
    <row r="2" spans="1:12" ht="15.5" x14ac:dyDescent="0.35">
      <c r="A2" s="17">
        <v>1002</v>
      </c>
      <c r="B2" s="17" t="s">
        <v>53</v>
      </c>
      <c r="C2" s="17">
        <v>78</v>
      </c>
      <c r="D2" s="17">
        <v>76</v>
      </c>
      <c r="E2" s="17">
        <v>70</v>
      </c>
      <c r="F2" s="18">
        <v>43281</v>
      </c>
      <c r="G2" s="19">
        <f t="shared" ref="G2:G20" si="0">AVERAGE(C2:E2)</f>
        <v>74.666666666666671</v>
      </c>
      <c r="H2" s="20" t="str">
        <f t="shared" ref="H2:H20" si="1">IF(G2&gt;=75,"A",
 IF(G2&gt;=60,"B",
 IF(G2&gt;=35,"C","F")))</f>
        <v>B</v>
      </c>
      <c r="I2" s="20" t="str">
        <f>IF('Students Grade'!$G2&gt;=35,"Pass","Fail")</f>
        <v>Pass</v>
      </c>
      <c r="J2" s="21">
        <f t="shared" ref="J2:J3" si="2">COUNTIF(G2:G20,"&gt;60")</f>
        <v>15</v>
      </c>
      <c r="K2" s="22">
        <f>COUNTIFS(C2:C20,"&gt;50")</f>
        <v>18</v>
      </c>
      <c r="L2" s="23" t="str">
        <f>IF(OR(C2&gt;=90,D2&gt;=90,E2&gt;=90),"Eligible","Not Eligible")</f>
        <v>Not Eligible</v>
      </c>
    </row>
    <row r="3" spans="1:12" ht="15.5" x14ac:dyDescent="0.35">
      <c r="A3" s="17">
        <v>1003</v>
      </c>
      <c r="B3" s="17" t="s">
        <v>54</v>
      </c>
      <c r="C3" s="17">
        <v>97</v>
      </c>
      <c r="D3" s="17">
        <v>60</v>
      </c>
      <c r="E3" s="17">
        <v>51</v>
      </c>
      <c r="F3" s="18">
        <v>43461</v>
      </c>
      <c r="G3" s="19">
        <f t="shared" si="0"/>
        <v>69.333333333333329</v>
      </c>
      <c r="H3" s="20" t="str">
        <f t="shared" si="1"/>
        <v>B</v>
      </c>
      <c r="I3" s="20" t="str">
        <f>IF('Students Grade'!$G3&gt;=35,"Pass","Fail")</f>
        <v>Pass</v>
      </c>
      <c r="J3" s="21">
        <f t="shared" si="2"/>
        <v>14</v>
      </c>
      <c r="K3" s="22">
        <f t="shared" ref="K3:K5" si="3">COUNTIFS(C3:C21,"&gt;50")</f>
        <v>17</v>
      </c>
      <c r="L3" s="23" t="str">
        <f t="shared" ref="L3:L20" si="4">IF(OR(C3&gt;=90,D3&gt;=90,E3&gt;=90),"Eligible","Not Eligible")</f>
        <v>Eligible</v>
      </c>
    </row>
    <row r="4" spans="1:12" ht="15.5" x14ac:dyDescent="0.35">
      <c r="A4" s="17">
        <v>1004</v>
      </c>
      <c r="B4" s="17" t="s">
        <v>55</v>
      </c>
      <c r="C4" s="17">
        <v>74</v>
      </c>
      <c r="D4" s="17">
        <v>55</v>
      </c>
      <c r="E4" s="17">
        <v>46</v>
      </c>
      <c r="F4" s="18">
        <v>43641</v>
      </c>
      <c r="G4" s="19">
        <f t="shared" si="0"/>
        <v>58.333333333333336</v>
      </c>
      <c r="H4" s="20" t="str">
        <f t="shared" si="1"/>
        <v>C</v>
      </c>
      <c r="I4" s="20" t="str">
        <f>IF('Students Grade'!$G4&gt;=35,"Pass","Fail")</f>
        <v>Pass</v>
      </c>
      <c r="J4" s="21">
        <f>COUNTIF(G4:G21,"&gt;60")</f>
        <v>13</v>
      </c>
      <c r="K4" s="22">
        <f t="shared" si="3"/>
        <v>16</v>
      </c>
      <c r="L4" s="23" t="str">
        <f t="shared" si="4"/>
        <v>Not Eligible</v>
      </c>
    </row>
    <row r="5" spans="1:12" ht="15.5" x14ac:dyDescent="0.35">
      <c r="A5" s="17">
        <v>1005</v>
      </c>
      <c r="B5" s="17" t="s">
        <v>56</v>
      </c>
      <c r="C5" s="17">
        <v>68</v>
      </c>
      <c r="D5" s="17">
        <v>74</v>
      </c>
      <c r="E5" s="17">
        <v>84</v>
      </c>
      <c r="F5" s="18">
        <v>43821</v>
      </c>
      <c r="G5" s="19">
        <f t="shared" si="0"/>
        <v>75.333333333333329</v>
      </c>
      <c r="H5" s="20" t="str">
        <f t="shared" si="1"/>
        <v>A</v>
      </c>
      <c r="I5" s="20" t="str">
        <f>IF('Students Grade'!$G5&gt;=35,"Pass","Fail")</f>
        <v>Pass</v>
      </c>
      <c r="J5" s="21">
        <f t="shared" ref="J5:J7" si="5">COUNTIF(G5:G21,"&gt;60")</f>
        <v>13</v>
      </c>
      <c r="K5" s="22">
        <f t="shared" si="3"/>
        <v>15</v>
      </c>
      <c r="L5" s="23" t="str">
        <f t="shared" si="4"/>
        <v>Not Eligible</v>
      </c>
    </row>
    <row r="6" spans="1:12" ht="15.5" x14ac:dyDescent="0.35">
      <c r="A6" s="17">
        <v>1006</v>
      </c>
      <c r="B6" s="17" t="s">
        <v>57</v>
      </c>
      <c r="C6" s="17">
        <v>80</v>
      </c>
      <c r="D6" s="17">
        <v>70</v>
      </c>
      <c r="E6" s="17">
        <v>65</v>
      </c>
      <c r="F6" s="18">
        <v>44001</v>
      </c>
      <c r="G6" s="19">
        <f t="shared" si="0"/>
        <v>71.666666666666671</v>
      </c>
      <c r="H6" s="20" t="str">
        <f t="shared" si="1"/>
        <v>B</v>
      </c>
      <c r="I6" s="20" t="str">
        <f>IF('Students Grade'!$G6&gt;=35,"Pass","Fail")</f>
        <v>Pass</v>
      </c>
      <c r="J6" s="21">
        <f t="shared" si="5"/>
        <v>12</v>
      </c>
      <c r="K6" s="22">
        <f>COUNTIFS(C6:C23,"&gt;50")</f>
        <v>14</v>
      </c>
      <c r="L6" s="23" t="str">
        <f t="shared" si="4"/>
        <v>Not Eligible</v>
      </c>
    </row>
    <row r="7" spans="1:12" ht="15.5" x14ac:dyDescent="0.35">
      <c r="A7" s="17">
        <v>1007</v>
      </c>
      <c r="B7" s="17" t="s">
        <v>58</v>
      </c>
      <c r="C7" s="17">
        <v>75</v>
      </c>
      <c r="D7" s="17">
        <v>47</v>
      </c>
      <c r="E7" s="17">
        <v>78</v>
      </c>
      <c r="F7" s="18">
        <v>44181</v>
      </c>
      <c r="G7" s="19">
        <f t="shared" si="0"/>
        <v>66.666666666666671</v>
      </c>
      <c r="H7" s="20" t="str">
        <f t="shared" si="1"/>
        <v>B</v>
      </c>
      <c r="I7" s="20" t="str">
        <f>IF('Students Grade'!$G7&gt;=35,"Pass","Fail")</f>
        <v>Pass</v>
      </c>
      <c r="J7" s="21">
        <f t="shared" si="5"/>
        <v>11</v>
      </c>
      <c r="K7" s="22">
        <f>COUNTIFS(C7:C24,"&gt;50")</f>
        <v>13</v>
      </c>
      <c r="L7" s="23" t="str">
        <f t="shared" si="4"/>
        <v>Not Eligible</v>
      </c>
    </row>
    <row r="8" spans="1:12" ht="15.5" x14ac:dyDescent="0.35">
      <c r="A8" s="17">
        <v>1008</v>
      </c>
      <c r="B8" s="17" t="s">
        <v>59</v>
      </c>
      <c r="C8" s="17">
        <v>94</v>
      </c>
      <c r="D8" s="17">
        <v>67</v>
      </c>
      <c r="E8" s="17">
        <v>64</v>
      </c>
      <c r="F8" s="18">
        <v>44361</v>
      </c>
      <c r="G8" s="19">
        <f t="shared" si="0"/>
        <v>75</v>
      </c>
      <c r="H8" s="20" t="str">
        <f t="shared" si="1"/>
        <v>A</v>
      </c>
      <c r="I8" s="20" t="str">
        <f>IF('Students Grade'!$G8&gt;=35,"Pass","Fail")</f>
        <v>Pass</v>
      </c>
      <c r="J8" s="21">
        <f>COUNTIF(G8:G23,"&gt;60")</f>
        <v>10</v>
      </c>
      <c r="K8" s="22">
        <f t="shared" ref="K8:K20" si="6">COUNTIFS(C8:C26,"&gt;50")</f>
        <v>12</v>
      </c>
      <c r="L8" s="23" t="str">
        <f t="shared" si="4"/>
        <v>Eligible</v>
      </c>
    </row>
    <row r="9" spans="1:12" ht="15.5" x14ac:dyDescent="0.35">
      <c r="A9" s="17">
        <v>1009</v>
      </c>
      <c r="B9" s="17" t="s">
        <v>60</v>
      </c>
      <c r="C9" s="17">
        <v>41</v>
      </c>
      <c r="D9" s="17">
        <v>75</v>
      </c>
      <c r="E9" s="17">
        <v>56</v>
      </c>
      <c r="F9" s="18">
        <v>44541</v>
      </c>
      <c r="G9" s="19">
        <f t="shared" si="0"/>
        <v>57.333333333333336</v>
      </c>
      <c r="H9" s="20" t="str">
        <f t="shared" si="1"/>
        <v>C</v>
      </c>
      <c r="I9" s="20" t="str">
        <f>IF('Students Grade'!$G9&gt;=35,"Pass","Fail")</f>
        <v>Pass</v>
      </c>
      <c r="J9" s="21">
        <f>COUNTIF(G9:G24,"&gt;60")</f>
        <v>10</v>
      </c>
      <c r="K9" s="22">
        <f t="shared" si="6"/>
        <v>11</v>
      </c>
      <c r="L9" s="23" t="str">
        <f t="shared" si="4"/>
        <v>Not Eligible</v>
      </c>
    </row>
    <row r="10" spans="1:12" ht="15.5" x14ac:dyDescent="0.35">
      <c r="A10" s="17">
        <v>1010</v>
      </c>
      <c r="B10" s="17" t="s">
        <v>61</v>
      </c>
      <c r="C10" s="17">
        <v>98</v>
      </c>
      <c r="D10" s="17">
        <v>54</v>
      </c>
      <c r="E10" s="17">
        <v>58</v>
      </c>
      <c r="F10" s="18">
        <v>44721</v>
      </c>
      <c r="G10" s="19">
        <f t="shared" si="0"/>
        <v>70</v>
      </c>
      <c r="H10" s="20" t="str">
        <f t="shared" si="1"/>
        <v>B</v>
      </c>
      <c r="I10" s="20" t="str">
        <f>IF('Students Grade'!$G10&gt;=35,"Pass","Fail")</f>
        <v>Pass</v>
      </c>
      <c r="J10" s="21">
        <f t="shared" ref="J10:J20" si="7">COUNTIF(G10:G26,"&gt;60")</f>
        <v>11</v>
      </c>
      <c r="K10" s="22">
        <f t="shared" si="6"/>
        <v>11</v>
      </c>
      <c r="L10" s="23" t="str">
        <f t="shared" si="4"/>
        <v>Eligible</v>
      </c>
    </row>
    <row r="11" spans="1:12" ht="15.5" x14ac:dyDescent="0.35">
      <c r="A11" s="17">
        <v>1011</v>
      </c>
      <c r="B11" s="17" t="s">
        <v>62</v>
      </c>
      <c r="C11" s="17">
        <v>73</v>
      </c>
      <c r="D11" s="17">
        <v>79</v>
      </c>
      <c r="E11" s="17">
        <v>53</v>
      </c>
      <c r="F11" s="18">
        <v>44901</v>
      </c>
      <c r="G11" s="19">
        <f t="shared" si="0"/>
        <v>68.333333333333329</v>
      </c>
      <c r="H11" s="20" t="str">
        <f t="shared" si="1"/>
        <v>B</v>
      </c>
      <c r="I11" s="20" t="str">
        <f>IF('Students Grade'!$G11&gt;=35,"Pass","Fail")</f>
        <v>Pass</v>
      </c>
      <c r="J11" s="21">
        <f t="shared" si="7"/>
        <v>10</v>
      </c>
      <c r="K11" s="22">
        <f t="shared" si="6"/>
        <v>10</v>
      </c>
      <c r="L11" s="23" t="str">
        <f t="shared" si="4"/>
        <v>Not Eligible</v>
      </c>
    </row>
    <row r="12" spans="1:12" ht="15.5" x14ac:dyDescent="0.35">
      <c r="A12" s="17">
        <v>1012</v>
      </c>
      <c r="B12" s="17" t="s">
        <v>63</v>
      </c>
      <c r="C12" s="17">
        <v>85</v>
      </c>
      <c r="D12" s="17">
        <v>89</v>
      </c>
      <c r="E12" s="17">
        <v>79</v>
      </c>
      <c r="F12" s="18">
        <v>45081</v>
      </c>
      <c r="G12" s="19">
        <f t="shared" si="0"/>
        <v>84.333333333333329</v>
      </c>
      <c r="H12" s="20" t="str">
        <f t="shared" si="1"/>
        <v>A</v>
      </c>
      <c r="I12" s="20" t="str">
        <f>IF('Students Grade'!$G12&gt;=35,"Pass","Fail")</f>
        <v>Pass</v>
      </c>
      <c r="J12" s="21">
        <f t="shared" si="7"/>
        <v>9</v>
      </c>
      <c r="K12" s="22">
        <f t="shared" si="6"/>
        <v>9</v>
      </c>
      <c r="L12" s="23" t="str">
        <f t="shared" si="4"/>
        <v>Not Eligible</v>
      </c>
    </row>
    <row r="13" spans="1:12" ht="15.5" x14ac:dyDescent="0.35">
      <c r="A13" s="17">
        <v>1013</v>
      </c>
      <c r="B13" s="17" t="s">
        <v>64</v>
      </c>
      <c r="C13" s="17">
        <v>98</v>
      </c>
      <c r="D13" s="17">
        <v>90</v>
      </c>
      <c r="E13" s="17">
        <v>97</v>
      </c>
      <c r="F13" s="18">
        <v>45261</v>
      </c>
      <c r="G13" s="19">
        <f t="shared" si="0"/>
        <v>95</v>
      </c>
      <c r="H13" s="20" t="str">
        <f t="shared" si="1"/>
        <v>A</v>
      </c>
      <c r="I13" s="20" t="str">
        <f>IF('Students Grade'!$G13&gt;=35,"Pass","Fail")</f>
        <v>Pass</v>
      </c>
      <c r="J13" s="21">
        <f t="shared" si="7"/>
        <v>8</v>
      </c>
      <c r="K13" s="22">
        <f t="shared" si="6"/>
        <v>8</v>
      </c>
      <c r="L13" s="23" t="str">
        <f t="shared" si="4"/>
        <v>Eligible</v>
      </c>
    </row>
    <row r="14" spans="1:12" ht="15.5" x14ac:dyDescent="0.35">
      <c r="A14" s="17">
        <v>1014</v>
      </c>
      <c r="B14" s="17" t="s">
        <v>65</v>
      </c>
      <c r="C14" s="17">
        <v>93</v>
      </c>
      <c r="D14" s="17">
        <v>40</v>
      </c>
      <c r="E14" s="17">
        <v>44</v>
      </c>
      <c r="F14" s="18">
        <v>45441</v>
      </c>
      <c r="G14" s="19">
        <f t="shared" si="0"/>
        <v>59</v>
      </c>
      <c r="H14" s="20" t="str">
        <f t="shared" si="1"/>
        <v>C</v>
      </c>
      <c r="I14" s="20" t="str">
        <f>IF('Students Grade'!$G14&gt;=35,"Pass","Fail")</f>
        <v>Pass</v>
      </c>
      <c r="J14" s="21">
        <f t="shared" si="7"/>
        <v>7</v>
      </c>
      <c r="K14" s="22">
        <f t="shared" si="6"/>
        <v>7</v>
      </c>
      <c r="L14" s="23" t="str">
        <f t="shared" si="4"/>
        <v>Eligible</v>
      </c>
    </row>
    <row r="15" spans="1:12" ht="15.5" x14ac:dyDescent="0.35">
      <c r="A15" s="17">
        <v>1015</v>
      </c>
      <c r="B15" s="17" t="s">
        <v>66</v>
      </c>
      <c r="C15" s="17">
        <v>70</v>
      </c>
      <c r="D15" s="17">
        <v>51</v>
      </c>
      <c r="E15" s="17">
        <v>75</v>
      </c>
      <c r="F15" s="18">
        <v>45621</v>
      </c>
      <c r="G15" s="19">
        <f t="shared" si="0"/>
        <v>65.333333333333329</v>
      </c>
      <c r="H15" s="20" t="str">
        <f t="shared" si="1"/>
        <v>B</v>
      </c>
      <c r="I15" s="20" t="str">
        <f>IF('Students Grade'!$G15&gt;=35,"Pass","Fail")</f>
        <v>Pass</v>
      </c>
      <c r="J15" s="21">
        <f t="shared" si="7"/>
        <v>7</v>
      </c>
      <c r="K15" s="22">
        <f t="shared" si="6"/>
        <v>6</v>
      </c>
      <c r="L15" s="23" t="str">
        <f t="shared" si="4"/>
        <v>Not Eligible</v>
      </c>
    </row>
    <row r="16" spans="1:12" ht="15.5" x14ac:dyDescent="0.35">
      <c r="A16" s="17">
        <v>1016</v>
      </c>
      <c r="B16" s="17" t="s">
        <v>67</v>
      </c>
      <c r="C16" s="17">
        <v>98</v>
      </c>
      <c r="D16" s="17">
        <v>77</v>
      </c>
      <c r="E16" s="17">
        <v>60</v>
      </c>
      <c r="F16" s="18">
        <v>45801</v>
      </c>
      <c r="G16" s="19">
        <f t="shared" si="0"/>
        <v>78.333333333333329</v>
      </c>
      <c r="H16" s="20" t="str">
        <f t="shared" si="1"/>
        <v>A</v>
      </c>
      <c r="I16" s="20" t="str">
        <f>IF('Students Grade'!$G16&gt;=35,"Pass","Fail")</f>
        <v>Pass</v>
      </c>
      <c r="J16" s="21">
        <f t="shared" si="7"/>
        <v>6</v>
      </c>
      <c r="K16" s="22">
        <f t="shared" si="6"/>
        <v>5</v>
      </c>
      <c r="L16" s="23" t="str">
        <f t="shared" si="4"/>
        <v>Eligible</v>
      </c>
    </row>
    <row r="17" spans="1:12" ht="15.5" x14ac:dyDescent="0.35">
      <c r="A17" s="17">
        <v>1017</v>
      </c>
      <c r="B17" s="17" t="s">
        <v>68</v>
      </c>
      <c r="C17" s="17">
        <v>66</v>
      </c>
      <c r="D17" s="17">
        <v>59</v>
      </c>
      <c r="E17" s="17">
        <v>40</v>
      </c>
      <c r="F17" s="18">
        <v>45981</v>
      </c>
      <c r="G17" s="19">
        <f t="shared" si="0"/>
        <v>55</v>
      </c>
      <c r="H17" s="20" t="str">
        <f t="shared" si="1"/>
        <v>C</v>
      </c>
      <c r="I17" s="20" t="str">
        <f>IF('Students Grade'!$G17&gt;=35,"Pass","Fail")</f>
        <v>Pass</v>
      </c>
      <c r="J17" s="21">
        <f t="shared" si="7"/>
        <v>5</v>
      </c>
      <c r="K17" s="22">
        <f t="shared" si="6"/>
        <v>4</v>
      </c>
      <c r="L17" s="23" t="str">
        <f t="shared" si="4"/>
        <v>Not Eligible</v>
      </c>
    </row>
    <row r="18" spans="1:12" ht="15.5" x14ac:dyDescent="0.35">
      <c r="A18" s="17">
        <v>1018</v>
      </c>
      <c r="B18" s="17" t="s">
        <v>69</v>
      </c>
      <c r="C18" s="17">
        <v>82</v>
      </c>
      <c r="D18" s="17">
        <v>48</v>
      </c>
      <c r="E18" s="17">
        <v>79</v>
      </c>
      <c r="F18" s="18">
        <v>46161</v>
      </c>
      <c r="G18" s="19">
        <f t="shared" si="0"/>
        <v>69.666666666666671</v>
      </c>
      <c r="H18" s="20" t="str">
        <f t="shared" si="1"/>
        <v>B</v>
      </c>
      <c r="I18" s="20" t="str">
        <f>IF('Students Grade'!$G18&gt;=35,"Pass","Fail")</f>
        <v>Pass</v>
      </c>
      <c r="J18" s="21">
        <f t="shared" si="7"/>
        <v>5</v>
      </c>
      <c r="K18" s="22">
        <f t="shared" si="6"/>
        <v>3</v>
      </c>
      <c r="L18" s="23" t="str">
        <f t="shared" si="4"/>
        <v>Not Eligible</v>
      </c>
    </row>
    <row r="19" spans="1:12" ht="15.5" x14ac:dyDescent="0.35">
      <c r="A19" s="17">
        <v>1019</v>
      </c>
      <c r="B19" s="17" t="s">
        <v>70</v>
      </c>
      <c r="C19" s="17">
        <v>90</v>
      </c>
      <c r="D19" s="17">
        <v>78</v>
      </c>
      <c r="E19" s="17">
        <v>60</v>
      </c>
      <c r="F19" s="18">
        <v>46341</v>
      </c>
      <c r="G19" s="19">
        <f t="shared" si="0"/>
        <v>76</v>
      </c>
      <c r="H19" s="20" t="str">
        <f t="shared" si="1"/>
        <v>A</v>
      </c>
      <c r="I19" s="20" t="str">
        <f>IF('Students Grade'!$G19&gt;=35,"Pass","Fail")</f>
        <v>Pass</v>
      </c>
      <c r="J19" s="21">
        <f t="shared" si="7"/>
        <v>4</v>
      </c>
      <c r="K19" s="22">
        <f t="shared" si="6"/>
        <v>2</v>
      </c>
      <c r="L19" s="23" t="str">
        <f t="shared" si="4"/>
        <v>Eligible</v>
      </c>
    </row>
    <row r="20" spans="1:12" ht="15.5" x14ac:dyDescent="0.35">
      <c r="A20" s="24">
        <v>1020</v>
      </c>
      <c r="B20" s="24" t="s">
        <v>71</v>
      </c>
      <c r="C20" s="24">
        <v>83</v>
      </c>
      <c r="D20" s="24">
        <v>92</v>
      </c>
      <c r="E20" s="24">
        <v>55</v>
      </c>
      <c r="F20" s="25">
        <v>46521</v>
      </c>
      <c r="G20" s="26">
        <f t="shared" si="0"/>
        <v>76.666666666666671</v>
      </c>
      <c r="H20" s="27" t="str">
        <f t="shared" si="1"/>
        <v>A</v>
      </c>
      <c r="I20" s="27" t="str">
        <f>IF('Students Grade'!$G20&gt;=35,"Pass","Fail")</f>
        <v>Pass</v>
      </c>
      <c r="J20" s="22">
        <f t="shared" si="7"/>
        <v>3</v>
      </c>
      <c r="K20" s="22">
        <f t="shared" si="6"/>
        <v>1</v>
      </c>
      <c r="L20" s="23" t="str">
        <f t="shared" si="4"/>
        <v>Eligible</v>
      </c>
    </row>
    <row r="22" spans="1:12" ht="18.5" x14ac:dyDescent="0.35">
      <c r="F22" s="28" t="s">
        <v>72</v>
      </c>
      <c r="G22" s="29">
        <f>COUNTIF(G2:G20,"&gt;80")</f>
        <v>2</v>
      </c>
    </row>
    <row r="24" spans="1:12" ht="18.5" x14ac:dyDescent="0.35">
      <c r="F24" s="28" t="s">
        <v>73</v>
      </c>
      <c r="G24" s="29">
        <f>AVERAGEIFS(C2:C20, C2:C20, "&gt;60")</f>
        <v>83.444444444444443</v>
      </c>
    </row>
    <row r="25" spans="1:12" ht="18.5" x14ac:dyDescent="0.35">
      <c r="F25" s="30"/>
      <c r="G25" s="31"/>
    </row>
    <row r="26" spans="1:12" ht="15.5" x14ac:dyDescent="0.35">
      <c r="F26" s="32" t="s">
        <v>74</v>
      </c>
      <c r="G26" s="33">
        <f>ROUNDUP(G24,2)</f>
        <v>83.45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1743A-884A-4071-B7D3-BE7A493AF438}">
  <dimension ref="A1:M33"/>
  <sheetViews>
    <sheetView topLeftCell="B1" zoomScale="70" zoomScaleNormal="70" workbookViewId="0">
      <selection activeCell="G19" sqref="G19"/>
    </sheetView>
  </sheetViews>
  <sheetFormatPr defaultColWidth="19.26953125" defaultRowHeight="14.5" x14ac:dyDescent="0.35"/>
  <cols>
    <col min="1" max="1" width="12.1796875" customWidth="1"/>
    <col min="2" max="2" width="17.81640625" customWidth="1"/>
    <col min="3" max="3" width="15.7265625" customWidth="1"/>
    <col min="4" max="4" width="16.1796875" customWidth="1"/>
    <col min="5" max="5" width="21.08984375" customWidth="1"/>
    <col min="6" max="7" width="19.26953125" style="34"/>
    <col min="8" max="8" width="24.7265625" bestFit="1" customWidth="1"/>
  </cols>
  <sheetData>
    <row r="1" spans="1:13" ht="33" customHeight="1" thickBot="1" x14ac:dyDescent="0.4">
      <c r="K1" s="85" t="s">
        <v>75</v>
      </c>
      <c r="L1" s="85"/>
      <c r="M1" s="86" t="s">
        <v>76</v>
      </c>
    </row>
    <row r="2" spans="1:13" ht="29.5" thickBot="1" x14ac:dyDescent="0.4">
      <c r="A2" s="3" t="s">
        <v>77</v>
      </c>
      <c r="B2" s="36" t="s">
        <v>78</v>
      </c>
      <c r="C2" s="36" t="s">
        <v>79</v>
      </c>
      <c r="D2" s="36" t="s">
        <v>80</v>
      </c>
      <c r="E2" s="36" t="s">
        <v>81</v>
      </c>
      <c r="F2" s="37" t="s">
        <v>82</v>
      </c>
      <c r="G2" s="38" t="s">
        <v>83</v>
      </c>
      <c r="H2" s="39" t="s">
        <v>84</v>
      </c>
      <c r="I2" s="36" t="s">
        <v>85</v>
      </c>
      <c r="J2" s="36" t="s">
        <v>86</v>
      </c>
      <c r="K2" s="40" t="s">
        <v>77</v>
      </c>
      <c r="L2" s="40" t="s">
        <v>87</v>
      </c>
      <c r="M2" s="87"/>
    </row>
    <row r="3" spans="1:13" ht="15" thickBot="1" x14ac:dyDescent="0.4">
      <c r="A3" s="41">
        <v>2001</v>
      </c>
      <c r="B3" s="42" t="s">
        <v>88</v>
      </c>
      <c r="C3" s="42" t="s">
        <v>89</v>
      </c>
      <c r="D3" s="42" t="s">
        <v>90</v>
      </c>
      <c r="E3" s="42">
        <v>7048</v>
      </c>
      <c r="F3" s="43">
        <v>44927</v>
      </c>
      <c r="G3" s="44" t="str">
        <f>TEXT(F3,"mmm-yyyy")</f>
        <v>Jan-2023</v>
      </c>
      <c r="H3" s="45" t="str">
        <f t="shared" ref="H3:H22" si="0">UPPER(D3)</f>
        <v>PERSON 1</v>
      </c>
      <c r="I3" s="42" t="str">
        <f t="shared" ref="I3:I22" si="1">LOWER(D3)</f>
        <v>person 1</v>
      </c>
      <c r="J3" s="42" t="str">
        <f t="shared" ref="J3:J22" si="2">LEFT(D3, FIND(" ", D3 &amp; " ") - 1)</f>
        <v>Person</v>
      </c>
      <c r="K3" s="46">
        <v>2001</v>
      </c>
      <c r="L3" s="47">
        <f t="shared" ref="L3:L22" si="3">VLOOKUP(K3,$A$2:$E$22,5,0)</f>
        <v>7048</v>
      </c>
      <c r="M3" s="48">
        <f t="shared" ref="M3:M22" si="4">IF(E3&gt;=40000,20%,IF(E3&gt;=30000,15%,IF(E3&gt;=20000,10%,5%)))</f>
        <v>0.05</v>
      </c>
    </row>
    <row r="4" spans="1:13" ht="15" thickBot="1" x14ac:dyDescent="0.4">
      <c r="A4" s="41">
        <v>2002</v>
      </c>
      <c r="B4" s="42" t="s">
        <v>91</v>
      </c>
      <c r="C4" s="42" t="s">
        <v>92</v>
      </c>
      <c r="D4" s="42" t="s">
        <v>93</v>
      </c>
      <c r="E4" s="42">
        <v>17428</v>
      </c>
      <c r="F4" s="43">
        <v>44942</v>
      </c>
      <c r="G4" s="44" t="str">
        <f t="shared" ref="G4:G22" si="5">TEXT(F4,"mmm-yyyy")</f>
        <v>Jan-2023</v>
      </c>
      <c r="H4" s="45" t="str">
        <f t="shared" si="0"/>
        <v>PERSON 2</v>
      </c>
      <c r="I4" s="42" t="str">
        <f t="shared" si="1"/>
        <v>person 2</v>
      </c>
      <c r="J4" s="42" t="str">
        <f t="shared" si="2"/>
        <v>Person</v>
      </c>
      <c r="K4" s="46">
        <v>2002</v>
      </c>
      <c r="L4" s="47">
        <f t="shared" si="3"/>
        <v>17428</v>
      </c>
      <c r="M4" s="48">
        <f t="shared" si="4"/>
        <v>0.05</v>
      </c>
    </row>
    <row r="5" spans="1:13" ht="15" thickBot="1" x14ac:dyDescent="0.4">
      <c r="A5" s="41">
        <v>2003</v>
      </c>
      <c r="B5" s="42" t="s">
        <v>94</v>
      </c>
      <c r="C5" s="42" t="s">
        <v>89</v>
      </c>
      <c r="D5" s="42" t="s">
        <v>95</v>
      </c>
      <c r="E5" s="42">
        <v>23672</v>
      </c>
      <c r="F5" s="43">
        <v>44957</v>
      </c>
      <c r="G5" s="44" t="str">
        <f t="shared" si="5"/>
        <v>Jan-2023</v>
      </c>
      <c r="H5" s="45" t="str">
        <f t="shared" si="0"/>
        <v>PERSON 3</v>
      </c>
      <c r="I5" s="42" t="str">
        <f t="shared" si="1"/>
        <v>person 3</v>
      </c>
      <c r="J5" s="42" t="str">
        <f t="shared" si="2"/>
        <v>Person</v>
      </c>
      <c r="K5" s="46">
        <v>2003</v>
      </c>
      <c r="L5" s="47">
        <f t="shared" si="3"/>
        <v>23672</v>
      </c>
      <c r="M5" s="48">
        <f t="shared" si="4"/>
        <v>0.1</v>
      </c>
    </row>
    <row r="6" spans="1:13" ht="15" thickBot="1" x14ac:dyDescent="0.4">
      <c r="A6" s="41">
        <v>2004</v>
      </c>
      <c r="B6" s="42" t="s">
        <v>91</v>
      </c>
      <c r="C6" s="42" t="s">
        <v>96</v>
      </c>
      <c r="D6" s="42" t="s">
        <v>97</v>
      </c>
      <c r="E6" s="42">
        <v>5264</v>
      </c>
      <c r="F6" s="43">
        <v>44972</v>
      </c>
      <c r="G6" s="44" t="str">
        <f t="shared" si="5"/>
        <v>Feb-2023</v>
      </c>
      <c r="H6" s="45" t="str">
        <f t="shared" si="0"/>
        <v>PERSON 4</v>
      </c>
      <c r="I6" s="42" t="str">
        <f t="shared" si="1"/>
        <v>person 4</v>
      </c>
      <c r="J6" s="42" t="str">
        <f t="shared" si="2"/>
        <v>Person</v>
      </c>
      <c r="K6" s="46">
        <v>2004</v>
      </c>
      <c r="L6" s="47">
        <f t="shared" si="3"/>
        <v>5264</v>
      </c>
      <c r="M6" s="48">
        <f t="shared" si="4"/>
        <v>0.05</v>
      </c>
    </row>
    <row r="7" spans="1:13" ht="15" thickBot="1" x14ac:dyDescent="0.4">
      <c r="A7" s="41">
        <v>2005</v>
      </c>
      <c r="B7" s="42" t="s">
        <v>88</v>
      </c>
      <c r="C7" s="42" t="s">
        <v>98</v>
      </c>
      <c r="D7" s="42" t="s">
        <v>99</v>
      </c>
      <c r="E7" s="42">
        <v>43388</v>
      </c>
      <c r="F7" s="43">
        <v>44987</v>
      </c>
      <c r="G7" s="44" t="str">
        <f t="shared" si="5"/>
        <v>Mar-2023</v>
      </c>
      <c r="H7" s="45" t="str">
        <f t="shared" si="0"/>
        <v>PERSON 5</v>
      </c>
      <c r="I7" s="42" t="str">
        <f t="shared" si="1"/>
        <v>person 5</v>
      </c>
      <c r="J7" s="42" t="str">
        <f t="shared" si="2"/>
        <v>Person</v>
      </c>
      <c r="K7" s="46">
        <v>2005</v>
      </c>
      <c r="L7" s="47">
        <f t="shared" si="3"/>
        <v>43388</v>
      </c>
      <c r="M7" s="48">
        <f t="shared" si="4"/>
        <v>0.2</v>
      </c>
    </row>
    <row r="8" spans="1:13" ht="15" thickBot="1" x14ac:dyDescent="0.4">
      <c r="A8" s="41">
        <v>2006</v>
      </c>
      <c r="B8" s="42" t="s">
        <v>94</v>
      </c>
      <c r="C8" s="42" t="s">
        <v>98</v>
      </c>
      <c r="D8" s="42" t="s">
        <v>100</v>
      </c>
      <c r="E8" s="42">
        <v>19757</v>
      </c>
      <c r="F8" s="43">
        <v>45002</v>
      </c>
      <c r="G8" s="44" t="str">
        <f t="shared" si="5"/>
        <v>Mar-2023</v>
      </c>
      <c r="H8" s="45" t="str">
        <f t="shared" si="0"/>
        <v>PERSON 6</v>
      </c>
      <c r="I8" s="42" t="str">
        <f t="shared" si="1"/>
        <v>person 6</v>
      </c>
      <c r="J8" s="42" t="str">
        <f t="shared" si="2"/>
        <v>Person</v>
      </c>
      <c r="K8" s="46">
        <v>2006</v>
      </c>
      <c r="L8" s="47">
        <f t="shared" si="3"/>
        <v>19757</v>
      </c>
      <c r="M8" s="48">
        <f t="shared" si="4"/>
        <v>0.05</v>
      </c>
    </row>
    <row r="9" spans="1:13" ht="15" thickBot="1" x14ac:dyDescent="0.4">
      <c r="A9" s="41">
        <v>2007</v>
      </c>
      <c r="B9" s="42" t="s">
        <v>94</v>
      </c>
      <c r="C9" s="42" t="s">
        <v>96</v>
      </c>
      <c r="D9" s="42" t="s">
        <v>101</v>
      </c>
      <c r="E9" s="42">
        <v>32058</v>
      </c>
      <c r="F9" s="43">
        <v>45017</v>
      </c>
      <c r="G9" s="44" t="str">
        <f t="shared" si="5"/>
        <v>Apr-2023</v>
      </c>
      <c r="H9" s="45" t="str">
        <f t="shared" si="0"/>
        <v>PERSON 7</v>
      </c>
      <c r="I9" s="42" t="str">
        <f t="shared" si="1"/>
        <v>person 7</v>
      </c>
      <c r="J9" s="42" t="str">
        <f t="shared" si="2"/>
        <v>Person</v>
      </c>
      <c r="K9" s="46">
        <v>2007</v>
      </c>
      <c r="L9" s="47">
        <f t="shared" si="3"/>
        <v>32058</v>
      </c>
      <c r="M9" s="48">
        <f t="shared" si="4"/>
        <v>0.15</v>
      </c>
    </row>
    <row r="10" spans="1:13" ht="15" thickBot="1" x14ac:dyDescent="0.4">
      <c r="A10" s="41">
        <v>2008</v>
      </c>
      <c r="B10" s="42" t="s">
        <v>88</v>
      </c>
      <c r="C10" s="42" t="s">
        <v>96</v>
      </c>
      <c r="D10" s="42" t="s">
        <v>102</v>
      </c>
      <c r="E10" s="42">
        <v>46429</v>
      </c>
      <c r="F10" s="43">
        <v>45032</v>
      </c>
      <c r="G10" s="44" t="str">
        <f t="shared" si="5"/>
        <v>Apr-2023</v>
      </c>
      <c r="H10" s="45" t="str">
        <f t="shared" si="0"/>
        <v>PERSON 8</v>
      </c>
      <c r="I10" s="42" t="str">
        <f t="shared" si="1"/>
        <v>person 8</v>
      </c>
      <c r="J10" s="42" t="str">
        <f t="shared" si="2"/>
        <v>Person</v>
      </c>
      <c r="K10" s="46">
        <v>2008</v>
      </c>
      <c r="L10" s="47">
        <f t="shared" si="3"/>
        <v>46429</v>
      </c>
      <c r="M10" s="48">
        <f t="shared" si="4"/>
        <v>0.2</v>
      </c>
    </row>
    <row r="11" spans="1:13" ht="15" thickBot="1" x14ac:dyDescent="0.4">
      <c r="A11" s="41">
        <v>2009</v>
      </c>
      <c r="B11" s="42" t="s">
        <v>91</v>
      </c>
      <c r="C11" s="42" t="s">
        <v>96</v>
      </c>
      <c r="D11" s="42" t="s">
        <v>103</v>
      </c>
      <c r="E11" s="42">
        <v>19746</v>
      </c>
      <c r="F11" s="43">
        <v>45047</v>
      </c>
      <c r="G11" s="44" t="str">
        <f t="shared" si="5"/>
        <v>May-2023</v>
      </c>
      <c r="H11" s="45" t="str">
        <f t="shared" si="0"/>
        <v>PERSON 9</v>
      </c>
      <c r="I11" s="42" t="str">
        <f t="shared" si="1"/>
        <v>person 9</v>
      </c>
      <c r="J11" s="42" t="str">
        <f t="shared" si="2"/>
        <v>Person</v>
      </c>
      <c r="K11" s="46">
        <v>2009</v>
      </c>
      <c r="L11" s="47">
        <f t="shared" si="3"/>
        <v>19746</v>
      </c>
      <c r="M11" s="48">
        <f t="shared" si="4"/>
        <v>0.05</v>
      </c>
    </row>
    <row r="12" spans="1:13" ht="15" thickBot="1" x14ac:dyDescent="0.4">
      <c r="A12" s="41">
        <v>2010</v>
      </c>
      <c r="B12" s="42" t="s">
        <v>88</v>
      </c>
      <c r="C12" s="42" t="s">
        <v>89</v>
      </c>
      <c r="D12" s="42" t="s">
        <v>104</v>
      </c>
      <c r="E12" s="42">
        <v>35185</v>
      </c>
      <c r="F12" s="43">
        <v>45062</v>
      </c>
      <c r="G12" s="44" t="str">
        <f t="shared" si="5"/>
        <v>May-2023</v>
      </c>
      <c r="H12" s="45" t="str">
        <f t="shared" si="0"/>
        <v>PERSON 10</v>
      </c>
      <c r="I12" s="42" t="str">
        <f t="shared" si="1"/>
        <v>person 10</v>
      </c>
      <c r="J12" s="42" t="str">
        <f t="shared" si="2"/>
        <v>Person</v>
      </c>
      <c r="K12" s="46">
        <v>2010</v>
      </c>
      <c r="L12" s="47">
        <f t="shared" si="3"/>
        <v>35185</v>
      </c>
      <c r="M12" s="48">
        <f t="shared" si="4"/>
        <v>0.15</v>
      </c>
    </row>
    <row r="13" spans="1:13" ht="15" thickBot="1" x14ac:dyDescent="0.4">
      <c r="A13" s="41">
        <v>2011</v>
      </c>
      <c r="B13" s="42" t="s">
        <v>88</v>
      </c>
      <c r="C13" s="42" t="s">
        <v>96</v>
      </c>
      <c r="D13" s="42" t="s">
        <v>105</v>
      </c>
      <c r="E13" s="42">
        <v>33920</v>
      </c>
      <c r="F13" s="43">
        <v>45077</v>
      </c>
      <c r="G13" s="44" t="str">
        <f t="shared" si="5"/>
        <v>May-2023</v>
      </c>
      <c r="H13" s="45" t="str">
        <f t="shared" si="0"/>
        <v>PERSON 11</v>
      </c>
      <c r="I13" s="42" t="str">
        <f t="shared" si="1"/>
        <v>person 11</v>
      </c>
      <c r="J13" s="42" t="str">
        <f t="shared" si="2"/>
        <v>Person</v>
      </c>
      <c r="K13" s="46">
        <v>2011</v>
      </c>
      <c r="L13" s="47">
        <f t="shared" si="3"/>
        <v>33920</v>
      </c>
      <c r="M13" s="48">
        <f t="shared" si="4"/>
        <v>0.15</v>
      </c>
    </row>
    <row r="14" spans="1:13" ht="15" thickBot="1" x14ac:dyDescent="0.4">
      <c r="A14" s="41">
        <v>2012</v>
      </c>
      <c r="B14" s="42" t="s">
        <v>106</v>
      </c>
      <c r="C14" s="42" t="s">
        <v>98</v>
      </c>
      <c r="D14" s="42" t="s">
        <v>107</v>
      </c>
      <c r="E14" s="42">
        <v>35611</v>
      </c>
      <c r="F14" s="43">
        <v>45092</v>
      </c>
      <c r="G14" s="44" t="str">
        <f t="shared" si="5"/>
        <v>Jun-2023</v>
      </c>
      <c r="H14" s="45" t="str">
        <f t="shared" si="0"/>
        <v>PERSON 12</v>
      </c>
      <c r="I14" s="42" t="str">
        <f t="shared" si="1"/>
        <v>person 12</v>
      </c>
      <c r="J14" s="42" t="str">
        <f t="shared" si="2"/>
        <v>Person</v>
      </c>
      <c r="K14" s="46">
        <v>2012</v>
      </c>
      <c r="L14" s="47">
        <f t="shared" si="3"/>
        <v>35611</v>
      </c>
      <c r="M14" s="48">
        <f t="shared" si="4"/>
        <v>0.15</v>
      </c>
    </row>
    <row r="15" spans="1:13" ht="15" thickBot="1" x14ac:dyDescent="0.4">
      <c r="A15" s="41">
        <v>2013</v>
      </c>
      <c r="B15" s="42" t="s">
        <v>108</v>
      </c>
      <c r="C15" s="42" t="s">
        <v>96</v>
      </c>
      <c r="D15" s="42" t="s">
        <v>109</v>
      </c>
      <c r="E15" s="42">
        <v>15560</v>
      </c>
      <c r="F15" s="43">
        <v>45107</v>
      </c>
      <c r="G15" s="44" t="str">
        <f t="shared" si="5"/>
        <v>Jun-2023</v>
      </c>
      <c r="H15" s="45" t="str">
        <f t="shared" si="0"/>
        <v>PERSON 13</v>
      </c>
      <c r="I15" s="42" t="str">
        <f t="shared" si="1"/>
        <v>person 13</v>
      </c>
      <c r="J15" s="42" t="str">
        <f t="shared" si="2"/>
        <v>Person</v>
      </c>
      <c r="K15" s="46">
        <v>2013</v>
      </c>
      <c r="L15" s="47">
        <f t="shared" si="3"/>
        <v>15560</v>
      </c>
      <c r="M15" s="48">
        <f t="shared" si="4"/>
        <v>0.05</v>
      </c>
    </row>
    <row r="16" spans="1:13" ht="15" thickBot="1" x14ac:dyDescent="0.4">
      <c r="A16" s="41">
        <v>2014</v>
      </c>
      <c r="B16" s="42" t="s">
        <v>108</v>
      </c>
      <c r="C16" s="42" t="s">
        <v>89</v>
      </c>
      <c r="D16" s="42" t="s">
        <v>110</v>
      </c>
      <c r="E16" s="42">
        <v>7283</v>
      </c>
      <c r="F16" s="43">
        <v>45122</v>
      </c>
      <c r="G16" s="49" t="str">
        <f t="shared" si="5"/>
        <v>Jul-2023</v>
      </c>
      <c r="H16" s="45" t="str">
        <f t="shared" si="0"/>
        <v>PERSON 14</v>
      </c>
      <c r="I16" s="42" t="str">
        <f t="shared" si="1"/>
        <v>person 14</v>
      </c>
      <c r="J16" s="42" t="str">
        <f t="shared" si="2"/>
        <v>Person</v>
      </c>
      <c r="K16" s="46">
        <v>2014</v>
      </c>
      <c r="L16" s="47">
        <f t="shared" si="3"/>
        <v>7283</v>
      </c>
      <c r="M16" s="48">
        <f t="shared" si="4"/>
        <v>0.05</v>
      </c>
    </row>
    <row r="17" spans="1:13" ht="15" thickBot="1" x14ac:dyDescent="0.4">
      <c r="A17" s="41">
        <v>2015</v>
      </c>
      <c r="B17" s="42" t="s">
        <v>108</v>
      </c>
      <c r="C17" s="42" t="s">
        <v>96</v>
      </c>
      <c r="D17" s="42" t="s">
        <v>111</v>
      </c>
      <c r="E17" s="42">
        <v>15678</v>
      </c>
      <c r="F17" s="43">
        <v>45137</v>
      </c>
      <c r="G17" s="44" t="str">
        <f t="shared" si="5"/>
        <v>Jul-2023</v>
      </c>
      <c r="H17" s="45" t="str">
        <f t="shared" si="0"/>
        <v>PERSON 15</v>
      </c>
      <c r="I17" s="42" t="str">
        <f t="shared" si="1"/>
        <v>person 15</v>
      </c>
      <c r="J17" s="42" t="str">
        <f t="shared" si="2"/>
        <v>Person</v>
      </c>
      <c r="K17" s="46">
        <v>2015</v>
      </c>
      <c r="L17" s="47">
        <f t="shared" si="3"/>
        <v>15678</v>
      </c>
      <c r="M17" s="48">
        <f t="shared" si="4"/>
        <v>0.05</v>
      </c>
    </row>
    <row r="18" spans="1:13" ht="15" thickBot="1" x14ac:dyDescent="0.4">
      <c r="A18" s="41">
        <v>2016</v>
      </c>
      <c r="B18" s="42" t="s">
        <v>94</v>
      </c>
      <c r="C18" s="42" t="s">
        <v>96</v>
      </c>
      <c r="D18" s="42" t="s">
        <v>112</v>
      </c>
      <c r="E18" s="42">
        <v>5277</v>
      </c>
      <c r="F18" s="43">
        <v>45152</v>
      </c>
      <c r="G18" s="44" t="str">
        <f t="shared" si="5"/>
        <v>Aug-2023</v>
      </c>
      <c r="H18" s="45" t="str">
        <f t="shared" si="0"/>
        <v>PERSON 16</v>
      </c>
      <c r="I18" s="42" t="str">
        <f t="shared" si="1"/>
        <v>person 16</v>
      </c>
      <c r="J18" s="42" t="str">
        <f t="shared" si="2"/>
        <v>Person</v>
      </c>
      <c r="K18" s="46">
        <v>2016</v>
      </c>
      <c r="L18" s="47">
        <f t="shared" si="3"/>
        <v>5277</v>
      </c>
      <c r="M18" s="48">
        <f t="shared" si="4"/>
        <v>0.05</v>
      </c>
    </row>
    <row r="19" spans="1:13" ht="15" thickBot="1" x14ac:dyDescent="0.4">
      <c r="A19" s="41">
        <v>2017</v>
      </c>
      <c r="B19" s="42" t="s">
        <v>106</v>
      </c>
      <c r="C19" s="42" t="s">
        <v>98</v>
      </c>
      <c r="D19" s="42" t="s">
        <v>113</v>
      </c>
      <c r="E19" s="42">
        <v>41871</v>
      </c>
      <c r="F19" s="43">
        <v>45167</v>
      </c>
      <c r="G19" s="44" t="str">
        <f t="shared" si="5"/>
        <v>Aug-2023</v>
      </c>
      <c r="H19" s="45" t="str">
        <f t="shared" si="0"/>
        <v>PERSON 17</v>
      </c>
      <c r="I19" s="42" t="str">
        <f t="shared" si="1"/>
        <v>person 17</v>
      </c>
      <c r="J19" s="42" t="str">
        <f t="shared" si="2"/>
        <v>Person</v>
      </c>
      <c r="K19" s="46">
        <v>2017</v>
      </c>
      <c r="L19" s="47">
        <f t="shared" si="3"/>
        <v>41871</v>
      </c>
      <c r="M19" s="48">
        <f t="shared" si="4"/>
        <v>0.2</v>
      </c>
    </row>
    <row r="20" spans="1:13" ht="15" thickBot="1" x14ac:dyDescent="0.4">
      <c r="A20" s="41">
        <v>2018</v>
      </c>
      <c r="B20" s="42" t="s">
        <v>106</v>
      </c>
      <c r="C20" s="42" t="s">
        <v>92</v>
      </c>
      <c r="D20" s="42" t="s">
        <v>114</v>
      </c>
      <c r="E20" s="42">
        <v>38161</v>
      </c>
      <c r="F20" s="43">
        <v>45182</v>
      </c>
      <c r="G20" s="44" t="str">
        <f t="shared" si="5"/>
        <v>Sep-2023</v>
      </c>
      <c r="H20" s="45" t="str">
        <f t="shared" si="0"/>
        <v>PERSON 18</v>
      </c>
      <c r="I20" s="42" t="str">
        <f t="shared" si="1"/>
        <v>person 18</v>
      </c>
      <c r="J20" s="42" t="str">
        <f t="shared" si="2"/>
        <v>Person</v>
      </c>
      <c r="K20" s="46">
        <v>2018</v>
      </c>
      <c r="L20" s="47">
        <f t="shared" si="3"/>
        <v>38161</v>
      </c>
      <c r="M20" s="48">
        <f t="shared" si="4"/>
        <v>0.15</v>
      </c>
    </row>
    <row r="21" spans="1:13" ht="15" thickBot="1" x14ac:dyDescent="0.4">
      <c r="A21" s="41">
        <v>2019</v>
      </c>
      <c r="B21" s="42" t="s">
        <v>94</v>
      </c>
      <c r="C21" s="42" t="s">
        <v>92</v>
      </c>
      <c r="D21" s="42" t="s">
        <v>115</v>
      </c>
      <c r="E21" s="42">
        <v>30436</v>
      </c>
      <c r="F21" s="43">
        <v>45197</v>
      </c>
      <c r="G21" s="44" t="str">
        <f t="shared" si="5"/>
        <v>Sep-2023</v>
      </c>
      <c r="H21" s="45" t="str">
        <f t="shared" si="0"/>
        <v>PERSON 19</v>
      </c>
      <c r="I21" s="42" t="str">
        <f t="shared" si="1"/>
        <v>person 19</v>
      </c>
      <c r="J21" s="42" t="str">
        <f t="shared" si="2"/>
        <v>Person</v>
      </c>
      <c r="K21" s="46">
        <v>2019</v>
      </c>
      <c r="L21" s="47">
        <f t="shared" si="3"/>
        <v>30436</v>
      </c>
      <c r="M21" s="48">
        <f t="shared" si="4"/>
        <v>0.15</v>
      </c>
    </row>
    <row r="22" spans="1:13" ht="15" thickBot="1" x14ac:dyDescent="0.4">
      <c r="A22" s="41">
        <v>2020</v>
      </c>
      <c r="B22" s="42" t="s">
        <v>91</v>
      </c>
      <c r="C22" s="42" t="s">
        <v>92</v>
      </c>
      <c r="D22" s="42" t="s">
        <v>116</v>
      </c>
      <c r="E22" s="50">
        <v>33953</v>
      </c>
      <c r="F22" s="43">
        <v>45212</v>
      </c>
      <c r="G22" s="44" t="str">
        <f t="shared" si="5"/>
        <v>Oct-2023</v>
      </c>
      <c r="H22" s="45" t="str">
        <f t="shared" si="0"/>
        <v>PERSON 20</v>
      </c>
      <c r="I22" s="42" t="str">
        <f t="shared" si="1"/>
        <v>person 20</v>
      </c>
      <c r="J22" s="42" t="str">
        <f t="shared" si="2"/>
        <v>Person</v>
      </c>
      <c r="K22" s="46">
        <v>2020</v>
      </c>
      <c r="L22" s="47">
        <f t="shared" si="3"/>
        <v>33953</v>
      </c>
      <c r="M22" s="48">
        <f t="shared" si="4"/>
        <v>0.15</v>
      </c>
    </row>
    <row r="23" spans="1:13" ht="15" thickBot="1" x14ac:dyDescent="0.4">
      <c r="A23" s="51"/>
      <c r="B23" s="51"/>
      <c r="C23" s="51"/>
      <c r="D23" s="51"/>
      <c r="E23" s="52">
        <f>SUM(E3:E22)</f>
        <v>507725</v>
      </c>
      <c r="F23" s="53"/>
      <c r="G23" s="53"/>
      <c r="H23" s="51"/>
      <c r="I23" s="51"/>
      <c r="J23" s="51"/>
      <c r="K23" s="51"/>
      <c r="L23" s="54"/>
      <c r="M23" s="55"/>
    </row>
    <row r="25" spans="1:13" x14ac:dyDescent="0.35">
      <c r="B25" s="56" t="s">
        <v>117</v>
      </c>
      <c r="C25" s="57">
        <f>SUBTOTAL(9,E$3:E$22)</f>
        <v>507725</v>
      </c>
      <c r="E25" s="88" t="s">
        <v>29</v>
      </c>
      <c r="F25" s="88"/>
      <c r="H25" s="58" t="s">
        <v>118</v>
      </c>
      <c r="I25" s="59">
        <f ca="1">SUM(OFFSET(E22,-4,0,5,1))</f>
        <v>149698</v>
      </c>
    </row>
    <row r="26" spans="1:13" x14ac:dyDescent="0.35">
      <c r="E26" s="60" t="s">
        <v>78</v>
      </c>
      <c r="F26" s="60" t="s">
        <v>119</v>
      </c>
      <c r="H26" s="34"/>
    </row>
    <row r="27" spans="1:13" ht="31" x14ac:dyDescent="0.35">
      <c r="B27" s="84" t="s">
        <v>120</v>
      </c>
      <c r="C27" s="61">
        <f>SUMIFS(E2:E22, B2:B22,"Keyboard", C2:C22,"East")</f>
        <v>80349</v>
      </c>
      <c r="E27" s="62" t="s">
        <v>88</v>
      </c>
      <c r="F27" s="62">
        <f>_xlfn.XMATCH(B3,$B$3:$B$22)</f>
        <v>1</v>
      </c>
      <c r="H27" s="34"/>
      <c r="I27" s="63"/>
    </row>
    <row r="28" spans="1:13" x14ac:dyDescent="0.35">
      <c r="E28" s="62" t="s">
        <v>91</v>
      </c>
      <c r="F28" s="62">
        <f>_xlfn.XMATCH(B4,$B$3:$B$22)</f>
        <v>2</v>
      </c>
      <c r="H28" s="64" t="s">
        <v>121</v>
      </c>
      <c r="I28" s="64">
        <v>37103</v>
      </c>
    </row>
    <row r="29" spans="1:13" x14ac:dyDescent="0.35">
      <c r="E29" s="62" t="s">
        <v>94</v>
      </c>
      <c r="F29" s="62">
        <f>_xlfn.XMATCH(B5,$B$3:$B$22)</f>
        <v>3</v>
      </c>
      <c r="H29" s="64" t="s">
        <v>122</v>
      </c>
      <c r="I29" s="64">
        <f ca="1">TODAY()</f>
        <v>46038</v>
      </c>
    </row>
    <row r="30" spans="1:13" x14ac:dyDescent="0.35">
      <c r="B30" s="65" t="s">
        <v>123</v>
      </c>
      <c r="C30" s="66" t="s">
        <v>124</v>
      </c>
      <c r="E30" s="62" t="s">
        <v>91</v>
      </c>
      <c r="F30" s="62">
        <f>_xlfn.XMATCH(B6,$B$3:$B$22)</f>
        <v>2</v>
      </c>
      <c r="H30" s="64" t="s">
        <v>125</v>
      </c>
      <c r="I30" s="67">
        <f ca="1">NOW()</f>
        <v>46038.580443402781</v>
      </c>
    </row>
    <row r="31" spans="1:13" x14ac:dyDescent="0.35">
      <c r="B31" s="68" t="s">
        <v>90</v>
      </c>
      <c r="C31" s="69" cm="1">
        <f t="array" ref="C31">INDEX(E:E,
MATCH(1,
(D:D=B31)*(G:G=B32),
0))</f>
        <v>7048</v>
      </c>
      <c r="E31" s="62" t="s">
        <v>88</v>
      </c>
      <c r="F31" s="62">
        <f>_xlfn.XMATCH(B7,$B$3:$B$22)</f>
        <v>1</v>
      </c>
      <c r="H31" s="34"/>
    </row>
    <row r="32" spans="1:13" x14ac:dyDescent="0.35">
      <c r="B32" s="70" t="s">
        <v>126</v>
      </c>
      <c r="C32" s="71"/>
      <c r="H32" s="64" t="s">
        <v>127</v>
      </c>
      <c r="I32" s="72">
        <f ca="1">DATEDIF(I28,TODAY(),"Y")</f>
        <v>24</v>
      </c>
    </row>
    <row r="33" spans="8:8" x14ac:dyDescent="0.35">
      <c r="H33" s="34"/>
    </row>
  </sheetData>
  <mergeCells count="3">
    <mergeCell ref="K1:L1"/>
    <mergeCell ref="M1:M2"/>
    <mergeCell ref="E25:F25"/>
  </mergeCells>
  <conditionalFormatting sqref="E27:F31">
    <cfRule type="iconSet" priority="1">
      <iconSet iconSet="5Rating">
        <cfvo type="percent" val="0"/>
        <cfvo type="percent" val="20"/>
        <cfvo type="percent" val="40"/>
        <cfvo type="percent" val="60"/>
        <cfvo type="percent" val="80"/>
      </iconSet>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6D7C-667D-48ED-9165-1159CEBBB132}">
  <dimension ref="A1:L21"/>
  <sheetViews>
    <sheetView zoomScale="82" workbookViewId="0">
      <selection activeCell="F19" sqref="F19"/>
    </sheetView>
  </sheetViews>
  <sheetFormatPr defaultRowHeight="14.5" x14ac:dyDescent="0.35"/>
  <cols>
    <col min="1" max="1" width="22.36328125" customWidth="1"/>
    <col min="2" max="2" width="15.54296875" customWidth="1"/>
    <col min="3" max="3" width="16.7265625" customWidth="1"/>
    <col min="4" max="4" width="13.08984375" customWidth="1"/>
    <col min="5" max="5" width="20.6328125" style="34" customWidth="1"/>
    <col min="6" max="6" width="27.7265625" style="34" customWidth="1"/>
    <col min="8" max="8" width="11.26953125" bestFit="1" customWidth="1"/>
    <col min="9" max="9" width="11.453125" bestFit="1" customWidth="1"/>
    <col min="10" max="10" width="10.90625" bestFit="1" customWidth="1"/>
    <col min="11" max="11" width="6.81640625" bestFit="1" customWidth="1"/>
    <col min="12" max="12" width="11" bestFit="1" customWidth="1"/>
  </cols>
  <sheetData>
    <row r="1" spans="1:12" ht="15" thickBot="1" x14ac:dyDescent="0.4">
      <c r="A1" s="73" t="s">
        <v>128</v>
      </c>
      <c r="B1" s="74" t="s">
        <v>42</v>
      </c>
      <c r="C1" s="74" t="s">
        <v>129</v>
      </c>
      <c r="D1" s="74" t="s">
        <v>130</v>
      </c>
      <c r="E1" s="75" t="s">
        <v>131</v>
      </c>
      <c r="F1" s="76" t="s">
        <v>132</v>
      </c>
    </row>
    <row r="2" spans="1:12" ht="15" thickBot="1" x14ac:dyDescent="0.4">
      <c r="A2" s="77">
        <v>3001</v>
      </c>
      <c r="B2" s="78" t="s">
        <v>133</v>
      </c>
      <c r="C2" s="78" t="s">
        <v>134</v>
      </c>
      <c r="D2" s="78">
        <v>86766</v>
      </c>
      <c r="E2" s="79">
        <v>42005</v>
      </c>
      <c r="F2" s="80">
        <f>YEAR(E2)</f>
        <v>2015</v>
      </c>
    </row>
    <row r="3" spans="1:12" ht="15" thickBot="1" x14ac:dyDescent="0.4">
      <c r="A3" s="77">
        <v>3002</v>
      </c>
      <c r="B3" s="78" t="s">
        <v>135</v>
      </c>
      <c r="C3" s="78" t="s">
        <v>134</v>
      </c>
      <c r="D3" s="78">
        <v>31943</v>
      </c>
      <c r="E3" s="79">
        <v>42255</v>
      </c>
      <c r="F3" s="80">
        <f t="shared" ref="F3:F21" si="0">YEAR(E3)</f>
        <v>2015</v>
      </c>
      <c r="H3" s="81"/>
    </row>
    <row r="4" spans="1:12" ht="15" thickBot="1" x14ac:dyDescent="0.4">
      <c r="A4" s="77">
        <v>3003</v>
      </c>
      <c r="B4" s="78" t="s">
        <v>136</v>
      </c>
      <c r="C4" s="78" t="s">
        <v>137</v>
      </c>
      <c r="D4" s="78">
        <v>63374</v>
      </c>
      <c r="E4" s="79">
        <v>42505</v>
      </c>
      <c r="F4" s="80">
        <f t="shared" si="0"/>
        <v>2016</v>
      </c>
      <c r="H4" s="81"/>
    </row>
    <row r="5" spans="1:12" ht="15" thickBot="1" x14ac:dyDescent="0.4">
      <c r="A5" s="77">
        <v>3004</v>
      </c>
      <c r="B5" s="78" t="s">
        <v>138</v>
      </c>
      <c r="C5" s="78" t="s">
        <v>134</v>
      </c>
      <c r="D5" s="78">
        <v>109972</v>
      </c>
      <c r="E5" s="79">
        <v>42755</v>
      </c>
      <c r="F5" s="80">
        <f t="shared" si="0"/>
        <v>2017</v>
      </c>
      <c r="H5" s="81"/>
    </row>
    <row r="6" spans="1:12" ht="15" thickBot="1" x14ac:dyDescent="0.4">
      <c r="A6" s="77">
        <v>3005</v>
      </c>
      <c r="B6" s="78" t="s">
        <v>139</v>
      </c>
      <c r="C6" s="78" t="s">
        <v>140</v>
      </c>
      <c r="D6" s="78">
        <v>54149</v>
      </c>
      <c r="E6" s="79">
        <v>43005</v>
      </c>
      <c r="F6" s="80">
        <f t="shared" si="0"/>
        <v>2017</v>
      </c>
      <c r="H6" s="81"/>
    </row>
    <row r="7" spans="1:12" ht="15" thickBot="1" x14ac:dyDescent="0.4">
      <c r="A7" s="77">
        <v>3006</v>
      </c>
      <c r="B7" s="78" t="s">
        <v>141</v>
      </c>
      <c r="C7" s="78" t="s">
        <v>140</v>
      </c>
      <c r="D7" s="78">
        <v>78689</v>
      </c>
      <c r="E7" s="79">
        <v>43255</v>
      </c>
      <c r="F7" s="80">
        <f t="shared" si="0"/>
        <v>2018</v>
      </c>
      <c r="H7" s="82" t="s">
        <v>128</v>
      </c>
      <c r="I7" s="82" t="s">
        <v>42</v>
      </c>
      <c r="J7" s="82" t="s">
        <v>129</v>
      </c>
      <c r="K7" s="82" t="s">
        <v>130</v>
      </c>
      <c r="L7" s="82" t="s">
        <v>131</v>
      </c>
    </row>
    <row r="8" spans="1:12" ht="15" thickBot="1" x14ac:dyDescent="0.4">
      <c r="A8" s="77">
        <v>3007</v>
      </c>
      <c r="B8" s="78" t="s">
        <v>142</v>
      </c>
      <c r="C8" s="78" t="s">
        <v>143</v>
      </c>
      <c r="D8" s="78">
        <v>35960</v>
      </c>
      <c r="E8" s="79">
        <v>43505</v>
      </c>
      <c r="F8" s="80">
        <f t="shared" si="0"/>
        <v>2019</v>
      </c>
      <c r="H8" s="83">
        <v>3002</v>
      </c>
      <c r="I8" s="23" t="str" cm="1">
        <f t="array" ref="I8:L8">_xlfn.XLOOKUP(H8,A:A,B:E)</f>
        <v>Employee 2</v>
      </c>
      <c r="J8" s="23" t="str">
        <v>Finance</v>
      </c>
      <c r="K8" s="23">
        <v>31943</v>
      </c>
      <c r="L8" s="23">
        <v>42255</v>
      </c>
    </row>
    <row r="9" spans="1:12" ht="15" thickBot="1" x14ac:dyDescent="0.4">
      <c r="A9" s="77">
        <v>3008</v>
      </c>
      <c r="B9" s="78" t="s">
        <v>144</v>
      </c>
      <c r="C9" s="78" t="s">
        <v>140</v>
      </c>
      <c r="D9" s="78">
        <v>91659</v>
      </c>
      <c r="E9" s="79">
        <v>43755</v>
      </c>
      <c r="F9" s="80">
        <f t="shared" si="0"/>
        <v>2019</v>
      </c>
      <c r="H9" s="81"/>
    </row>
    <row r="10" spans="1:12" ht="15" thickBot="1" x14ac:dyDescent="0.4">
      <c r="A10" s="77">
        <v>3009</v>
      </c>
      <c r="B10" s="78" t="s">
        <v>145</v>
      </c>
      <c r="C10" s="78" t="s">
        <v>140</v>
      </c>
      <c r="D10" s="78">
        <v>90423</v>
      </c>
      <c r="E10" s="79">
        <v>44005</v>
      </c>
      <c r="F10" s="80">
        <f t="shared" si="0"/>
        <v>2020</v>
      </c>
      <c r="H10" s="81"/>
    </row>
    <row r="11" spans="1:12" ht="15" thickBot="1" x14ac:dyDescent="0.4">
      <c r="A11" s="77">
        <v>3010</v>
      </c>
      <c r="B11" s="78" t="s">
        <v>146</v>
      </c>
      <c r="C11" s="78" t="s">
        <v>137</v>
      </c>
      <c r="D11" s="78">
        <v>107877</v>
      </c>
      <c r="E11" s="79">
        <v>44255</v>
      </c>
      <c r="F11" s="80">
        <f t="shared" si="0"/>
        <v>2021</v>
      </c>
      <c r="H11" s="81"/>
    </row>
    <row r="12" spans="1:12" ht="15" thickBot="1" x14ac:dyDescent="0.4">
      <c r="A12" s="77">
        <v>3011</v>
      </c>
      <c r="B12" s="78" t="s">
        <v>147</v>
      </c>
      <c r="C12" s="78" t="s">
        <v>134</v>
      </c>
      <c r="D12" s="78">
        <v>107634</v>
      </c>
      <c r="E12" s="79">
        <v>44505</v>
      </c>
      <c r="F12" s="80">
        <f t="shared" si="0"/>
        <v>2021</v>
      </c>
      <c r="H12" s="81"/>
    </row>
    <row r="13" spans="1:12" ht="15" thickBot="1" x14ac:dyDescent="0.4">
      <c r="A13" s="77">
        <v>3012</v>
      </c>
      <c r="B13" s="78" t="s">
        <v>148</v>
      </c>
      <c r="C13" s="78" t="s">
        <v>134</v>
      </c>
      <c r="D13" s="78">
        <v>35226</v>
      </c>
      <c r="E13" s="79">
        <v>44755</v>
      </c>
      <c r="F13" s="80">
        <f t="shared" si="0"/>
        <v>2022</v>
      </c>
      <c r="H13" s="81"/>
    </row>
    <row r="14" spans="1:12" ht="15" thickBot="1" x14ac:dyDescent="0.4">
      <c r="A14" s="77">
        <v>3013</v>
      </c>
      <c r="B14" s="78" t="s">
        <v>149</v>
      </c>
      <c r="C14" s="78" t="s">
        <v>137</v>
      </c>
      <c r="D14" s="78">
        <v>40872</v>
      </c>
      <c r="E14" s="79">
        <v>45005</v>
      </c>
      <c r="F14" s="80">
        <f t="shared" si="0"/>
        <v>2023</v>
      </c>
      <c r="H14" s="81"/>
    </row>
    <row r="15" spans="1:12" ht="15" thickBot="1" x14ac:dyDescent="0.4">
      <c r="A15" s="77">
        <v>3014</v>
      </c>
      <c r="B15" s="78" t="s">
        <v>150</v>
      </c>
      <c r="C15" s="78" t="s">
        <v>137</v>
      </c>
      <c r="D15" s="78">
        <v>55378</v>
      </c>
      <c r="E15" s="79">
        <v>45255</v>
      </c>
      <c r="F15" s="80">
        <f t="shared" si="0"/>
        <v>2023</v>
      </c>
      <c r="H15" s="81"/>
    </row>
    <row r="16" spans="1:12" ht="15" thickBot="1" x14ac:dyDescent="0.4">
      <c r="A16" s="77">
        <v>3015</v>
      </c>
      <c r="B16" s="78" t="s">
        <v>151</v>
      </c>
      <c r="C16" s="78" t="s">
        <v>137</v>
      </c>
      <c r="D16" s="78">
        <v>63297</v>
      </c>
      <c r="E16" s="79">
        <v>45505</v>
      </c>
      <c r="F16" s="80">
        <f t="shared" si="0"/>
        <v>2024</v>
      </c>
      <c r="H16" s="81"/>
    </row>
    <row r="17" spans="1:8" ht="15" thickBot="1" x14ac:dyDescent="0.4">
      <c r="A17" s="77">
        <v>3016</v>
      </c>
      <c r="B17" s="78" t="s">
        <v>152</v>
      </c>
      <c r="C17" s="78" t="s">
        <v>134</v>
      </c>
      <c r="D17" s="78">
        <v>114173</v>
      </c>
      <c r="E17" s="79">
        <v>45755</v>
      </c>
      <c r="F17" s="80">
        <f t="shared" si="0"/>
        <v>2025</v>
      </c>
      <c r="H17" s="81"/>
    </row>
    <row r="18" spans="1:8" ht="15" thickBot="1" x14ac:dyDescent="0.4">
      <c r="A18" s="77">
        <v>3017</v>
      </c>
      <c r="B18" s="78" t="s">
        <v>153</v>
      </c>
      <c r="C18" s="78" t="s">
        <v>137</v>
      </c>
      <c r="D18" s="78">
        <v>86915</v>
      </c>
      <c r="E18" s="79">
        <v>46005</v>
      </c>
      <c r="F18" s="80">
        <f t="shared" si="0"/>
        <v>2025</v>
      </c>
      <c r="H18" s="81"/>
    </row>
    <row r="19" spans="1:8" ht="15" thickBot="1" x14ac:dyDescent="0.4">
      <c r="A19" s="77">
        <v>3018</v>
      </c>
      <c r="B19" s="78" t="s">
        <v>154</v>
      </c>
      <c r="C19" s="78" t="s">
        <v>140</v>
      </c>
      <c r="D19" s="78">
        <v>116284</v>
      </c>
      <c r="E19" s="79">
        <v>46255</v>
      </c>
      <c r="F19" s="80">
        <f t="shared" si="0"/>
        <v>2026</v>
      </c>
      <c r="H19" s="81"/>
    </row>
    <row r="20" spans="1:8" ht="15" thickBot="1" x14ac:dyDescent="0.4">
      <c r="A20" s="77">
        <v>3019</v>
      </c>
      <c r="B20" s="78" t="s">
        <v>155</v>
      </c>
      <c r="C20" s="78" t="s">
        <v>143</v>
      </c>
      <c r="D20" s="78">
        <v>116283</v>
      </c>
      <c r="E20" s="79">
        <v>46505</v>
      </c>
      <c r="F20" s="80">
        <f t="shared" si="0"/>
        <v>2027</v>
      </c>
      <c r="H20" s="81"/>
    </row>
    <row r="21" spans="1:8" ht="15" thickBot="1" x14ac:dyDescent="0.4">
      <c r="A21" s="77">
        <v>3020</v>
      </c>
      <c r="B21" s="78" t="s">
        <v>156</v>
      </c>
      <c r="C21" s="78" t="s">
        <v>143</v>
      </c>
      <c r="D21" s="78">
        <v>99924</v>
      </c>
      <c r="E21" s="79">
        <v>46755</v>
      </c>
      <c r="F21" s="80">
        <f t="shared" si="0"/>
        <v>2028</v>
      </c>
      <c r="H21" s="8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Instruction</vt:lpstr>
      <vt:lpstr>Students Grade</vt:lpstr>
      <vt:lpstr>Sales Data</vt:lpstr>
      <vt:lpstr>Employee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KAUSHIK SAMANAVA</dc:creator>
  <cp:lastModifiedBy>kaushik samanava</cp:lastModifiedBy>
  <dcterms:created xsi:type="dcterms:W3CDTF">2015-06-05T18:17:20Z</dcterms:created>
  <dcterms:modified xsi:type="dcterms:W3CDTF">2026-01-16T08:25:53Z</dcterms:modified>
</cp:coreProperties>
</file>